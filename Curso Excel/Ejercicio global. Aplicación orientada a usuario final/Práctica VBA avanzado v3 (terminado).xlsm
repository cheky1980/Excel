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rojects\ES_1693\archivos base\Práctica y archivos para importar\"/>
    </mc:Choice>
  </mc:AlternateContent>
  <bookViews>
    <workbookView xWindow="0" yWindow="0" windowWidth="14370" windowHeight="6615"/>
  </bookViews>
  <sheets>
    <sheet name="menGen" sheetId="1" r:id="rId1"/>
    <sheet name="lisTra" sheetId="2" r:id="rId2"/>
    <sheet name="frmTra" sheetId="3" r:id="rId3"/>
    <sheet name="lisImp" sheetId="5" r:id="rId4"/>
    <sheet name="graInf" sheetId="6" r:id="rId5"/>
    <sheet name="auxLis" sheetId="4" r:id="rId6"/>
  </sheets>
  <definedNames>
    <definedName name="namUsr_C01FrmTra">frmTra!$D$9</definedName>
    <definedName name="namUsr_C02FrmTra">frmTra!$D$12</definedName>
    <definedName name="namUsr_C03a05Frm">frmTra!$G$17:$J$19</definedName>
  </definedNames>
  <calcPr calcId="162913"/>
  <fileRecoveryPr autoRecover="0"/>
</workbook>
</file>

<file path=xl/calcChain.xml><?xml version="1.0" encoding="utf-8"?>
<calcChain xmlns="http://schemas.openxmlformats.org/spreadsheetml/2006/main">
  <c r="D9" i="6" l="1"/>
  <c r="E9" i="6"/>
  <c r="F9" i="6"/>
  <c r="G9" i="6"/>
  <c r="H9" i="6"/>
  <c r="I9" i="6"/>
  <c r="J9" i="6"/>
  <c r="K9" i="6"/>
  <c r="L9" i="6"/>
  <c r="M9" i="6"/>
  <c r="N9" i="6"/>
  <c r="C9" i="6"/>
  <c r="E10" i="6" l="1"/>
  <c r="K10" i="6"/>
  <c r="L10" i="6"/>
  <c r="D10" i="6"/>
  <c r="J10" i="6"/>
  <c r="I10" i="6"/>
  <c r="H10" i="6"/>
  <c r="C10" i="6"/>
  <c r="G10" i="6"/>
  <c r="N10" i="6"/>
  <c r="F10" i="6"/>
  <c r="M10" i="6"/>
</calcChain>
</file>

<file path=xl/sharedStrings.xml><?xml version="1.0" encoding="utf-8"?>
<sst xmlns="http://schemas.openxmlformats.org/spreadsheetml/2006/main" count="170" uniqueCount="95">
  <si>
    <t>Menú general</t>
  </si>
  <si>
    <t>Código</t>
  </si>
  <si>
    <t>Nombre del ítem</t>
  </si>
  <si>
    <t>Campo 3</t>
  </si>
  <si>
    <t>Campo 4</t>
  </si>
  <si>
    <t>Campo 5</t>
  </si>
  <si>
    <t>COD001</t>
  </si>
  <si>
    <t>COD002</t>
  </si>
  <si>
    <t>COD003</t>
  </si>
  <si>
    <t>COD004</t>
  </si>
  <si>
    <t>COD005</t>
  </si>
  <si>
    <t>COD006</t>
  </si>
  <si>
    <t>COD007</t>
  </si>
  <si>
    <t>COD008</t>
  </si>
  <si>
    <t>COD009</t>
  </si>
  <si>
    <t>COD010</t>
  </si>
  <si>
    <t>Lista desplegable para campo 3 en frmItm</t>
  </si>
  <si>
    <t>Lista desplegable para campo 4 en frmItm</t>
  </si>
  <si>
    <t>Lista desplegable para campo 5 en frmItm</t>
  </si>
  <si>
    <t>Auxiliar para listas desplegables</t>
  </si>
  <si>
    <t>Lista de datos importados</t>
  </si>
  <si>
    <t>Importar…</t>
  </si>
  <si>
    <t>Guardar registro y volver a la lista</t>
  </si>
  <si>
    <t>Nombre de trabajador 1</t>
  </si>
  <si>
    <t>Nombre de trabajador 2</t>
  </si>
  <si>
    <t>Nombre de trabajador 3</t>
  </si>
  <si>
    <t>Nombre de trabajador 4</t>
  </si>
  <si>
    <t>Nombre de trabajador 5</t>
  </si>
  <si>
    <t>Nombre de trabajador 6</t>
  </si>
  <si>
    <t>Nombre de trabajador 7</t>
  </si>
  <si>
    <t>Campo3. Dato 1 de trabajador</t>
  </si>
  <si>
    <t>Campo3. Dato 2 de trabajador</t>
  </si>
  <si>
    <t>Campo3. Dato 4 de trabajador</t>
  </si>
  <si>
    <t>Campo3. Dato 3 de trabajador</t>
  </si>
  <si>
    <t>Campo3. Dato 5 de trabajador</t>
  </si>
  <si>
    <t>Campo4. Dato 1 de trabajador</t>
  </si>
  <si>
    <t>Campo4. Dato 2 de trabajador</t>
  </si>
  <si>
    <t>Campo4. Dato 3 de trabajador</t>
  </si>
  <si>
    <t>Campo4. Dato 4 de trabajador</t>
  </si>
  <si>
    <t>Campo4. Dato 5 de trabajador</t>
  </si>
  <si>
    <t>Campo5. Dato 1 de trabajador</t>
  </si>
  <si>
    <t>Campo5. Dato 2 de trabajador</t>
  </si>
  <si>
    <t>Campo5. Dato 3 de trabajador</t>
  </si>
  <si>
    <t>Campo5. Dato 4 de trabajador</t>
  </si>
  <si>
    <t>Campo5. Dato 5 de trabajador</t>
  </si>
  <si>
    <t>Nombre de trabajador 9</t>
  </si>
  <si>
    <t>Lista de valores importados (horas trabajadas)</t>
  </si>
  <si>
    <t>Horas mes 1</t>
  </si>
  <si>
    <t>Horas mes 2</t>
  </si>
  <si>
    <t>Horas mes 3</t>
  </si>
  <si>
    <t>Horas mes 4</t>
  </si>
  <si>
    <t>Horas mes 5</t>
  </si>
  <si>
    <t>Horas mes 6</t>
  </si>
  <si>
    <t>Horas mes 7</t>
  </si>
  <si>
    <t>Horas mes 8</t>
  </si>
  <si>
    <t>Horas mes 9</t>
  </si>
  <si>
    <t>Horas mes 10</t>
  </si>
  <si>
    <t>Horas mes 11</t>
  </si>
  <si>
    <t>Horas mes 12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</si>
  <si>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</si>
  <si>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</si>
  <si>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</si>
  <si>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</si>
  <si>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</si>
  <si>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</si>
  <si>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</si>
  <si>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</si>
  <si>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</si>
  <si>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</si>
  <si>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</si>
  <si>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</si>
  <si>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Nombre del trabajador</t>
  </si>
  <si>
    <t>nomTra</t>
  </si>
  <si>
    <t>Horas mes</t>
  </si>
  <si>
    <t>Horas</t>
  </si>
  <si>
    <t>Promedio horas</t>
  </si>
  <si>
    <t>Gráfico - informe</t>
  </si>
  <si>
    <t></t>
  </si>
  <si>
    <r>
      <rPr>
        <b/>
        <sz val="22"/>
        <color theme="5"/>
        <rFont val="Calibri"/>
        <family val="2"/>
        <scheme val="minor"/>
      </rPr>
      <t>+</t>
    </r>
    <r>
      <rPr>
        <b/>
        <sz val="11"/>
        <color theme="5"/>
        <rFont val="Calibri"/>
        <family val="2"/>
        <scheme val="minor"/>
      </rPr>
      <t xml:space="preserve"> </t>
    </r>
    <r>
      <rPr>
        <b/>
        <u/>
        <sz val="11"/>
        <color theme="5"/>
        <rFont val="Calibri"/>
        <family val="2"/>
        <scheme val="minor"/>
      </rPr>
      <t>Agregar registro</t>
    </r>
  </si>
  <si>
    <r>
      <rPr>
        <b/>
        <sz val="18"/>
        <color theme="5"/>
        <rFont val="Wingdings 2"/>
        <family val="1"/>
        <charset val="2"/>
      </rPr>
      <t>$</t>
    </r>
    <r>
      <rPr>
        <b/>
        <sz val="16"/>
        <color theme="5"/>
        <rFont val="Calibri"/>
        <family val="2"/>
      </rPr>
      <t xml:space="preserve"> </t>
    </r>
    <r>
      <rPr>
        <b/>
        <sz val="15.5"/>
        <color theme="5"/>
        <rFont val="Calibri"/>
        <family val="2"/>
      </rPr>
      <t xml:space="preserve"> </t>
    </r>
    <r>
      <rPr>
        <b/>
        <u/>
        <sz val="11"/>
        <color theme="5"/>
        <rFont val="Calibri"/>
        <family val="2"/>
        <scheme val="minor"/>
      </rPr>
      <t>Editar registro</t>
    </r>
  </si>
  <si>
    <r>
      <rPr>
        <b/>
        <sz val="18"/>
        <color theme="5"/>
        <rFont val="Wingdings"/>
        <charset val="2"/>
      </rPr>
      <t>û</t>
    </r>
    <r>
      <rPr>
        <b/>
        <sz val="11"/>
        <color theme="5"/>
        <rFont val="Calibri"/>
        <family val="2"/>
        <scheme val="minor"/>
      </rPr>
      <t xml:space="preserve"> </t>
    </r>
    <r>
      <rPr>
        <b/>
        <u/>
        <sz val="11"/>
        <color theme="5"/>
        <rFont val="Calibri"/>
        <family val="2"/>
        <scheme val="minor"/>
      </rPr>
      <t>Eliminar registro</t>
    </r>
  </si>
  <si>
    <r>
      <rPr>
        <b/>
        <sz val="20"/>
        <color theme="5"/>
        <rFont val="Wingdings"/>
        <charset val="2"/>
      </rPr>
      <t>v</t>
    </r>
    <r>
      <rPr>
        <b/>
        <sz val="15.5"/>
        <color theme="5"/>
        <rFont val="Calibri"/>
        <family val="2"/>
      </rPr>
      <t xml:space="preserve"> </t>
    </r>
    <r>
      <rPr>
        <b/>
        <u/>
        <sz val="11"/>
        <color theme="5"/>
        <rFont val="Calibri"/>
        <family val="2"/>
        <scheme val="minor"/>
      </rPr>
      <t>Menú general</t>
    </r>
  </si>
  <si>
    <r>
      <t xml:space="preserve">Selecciona el nº de trabajador </t>
    </r>
    <r>
      <rPr>
        <b/>
        <sz val="11"/>
        <color theme="4"/>
        <rFont val="Wingdings 3"/>
        <family val="1"/>
        <charset val="2"/>
      </rPr>
      <t>q</t>
    </r>
  </si>
  <si>
    <t>Gráfico</t>
  </si>
  <si>
    <r>
      <rPr>
        <b/>
        <sz val="20"/>
        <color theme="6" tint="-0.499984740745262"/>
        <rFont val="Wingdings"/>
        <charset val="2"/>
      </rPr>
      <t>v</t>
    </r>
    <r>
      <rPr>
        <b/>
        <sz val="20"/>
        <color theme="6" tint="-0.499984740745262"/>
        <rFont val="Calibri"/>
        <family val="2"/>
      </rPr>
      <t xml:space="preserve"> </t>
    </r>
    <r>
      <rPr>
        <b/>
        <u/>
        <sz val="11"/>
        <color theme="6" tint="-0.499984740745262"/>
        <rFont val="Calibri"/>
        <family val="2"/>
        <scheme val="minor"/>
      </rPr>
      <t>Menú general</t>
    </r>
    <r>
      <rPr>
        <b/>
        <sz val="11"/>
        <color theme="6" tint="-0.499984740745262"/>
        <rFont val="Calibri"/>
        <family val="2"/>
        <scheme val="minor"/>
      </rPr>
      <t/>
    </r>
  </si>
  <si>
    <r>
      <rPr>
        <b/>
        <sz val="20"/>
        <color theme="4"/>
        <rFont val="Wingdings"/>
        <charset val="2"/>
      </rPr>
      <t>v</t>
    </r>
    <r>
      <rPr>
        <b/>
        <sz val="20"/>
        <color theme="4"/>
        <rFont val="Calibri"/>
        <family val="2"/>
      </rPr>
      <t xml:space="preserve"> </t>
    </r>
    <r>
      <rPr>
        <b/>
        <u/>
        <sz val="11"/>
        <color theme="4"/>
        <rFont val="Calibri"/>
        <family val="2"/>
        <scheme val="minor"/>
      </rPr>
      <t>Menú general</t>
    </r>
    <r>
      <rPr>
        <b/>
        <sz val="11"/>
        <color theme="6" tint="-0.499984740745262"/>
        <rFont val="Calibri"/>
        <family val="2"/>
        <scheme val="minor"/>
      </rPr>
      <t/>
    </r>
  </si>
  <si>
    <t>Nombre de trabajador 8</t>
  </si>
  <si>
    <r>
      <rPr>
        <b/>
        <sz val="14"/>
        <color theme="5"/>
        <rFont val="Wingdings 3"/>
        <family val="1"/>
        <charset val="2"/>
      </rPr>
      <t>E</t>
    </r>
    <r>
      <rPr>
        <b/>
        <sz val="15.5"/>
        <color theme="5"/>
        <rFont val="Calibri"/>
        <family val="2"/>
        <charset val="2"/>
      </rPr>
      <t xml:space="preserve"> </t>
    </r>
    <r>
      <rPr>
        <b/>
        <u/>
        <sz val="11"/>
        <color theme="5"/>
        <rFont val="Calibri"/>
        <family val="2"/>
        <charset val="2"/>
        <scheme val="minor"/>
      </rPr>
      <t>Ordenar</t>
    </r>
  </si>
  <si>
    <t>Lista de trabajadores</t>
  </si>
  <si>
    <t>codTra</t>
  </si>
  <si>
    <t>cam03</t>
  </si>
  <si>
    <t>cam04</t>
  </si>
  <si>
    <t>cam05</t>
  </si>
  <si>
    <t>Edición de trabajadores</t>
  </si>
  <si>
    <t>Nombre de trabajador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</si>
</sst>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5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0"/>
      <color theme="0"/>
      <name val="Arial Black"/>
      <family val="2"/>
    </font>
    <font>
      <b/>
      <u/>
      <sz val="11"/>
      <color theme="4"/>
      <name val="Calibri"/>
      <family val="2"/>
      <scheme val="minor"/>
    </font>
    <font>
      <b/>
      <u/>
      <sz val="11"/>
      <color theme="6" tint="-0.499984740745262"/>
      <name val="Calibri"/>
      <family val="2"/>
      <scheme val="minor"/>
    </font>
    <font>
      <b/>
      <u/>
      <sz val="11"/>
      <color theme="5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6" tint="-0.499984740745262"/>
      <name val="Calibri"/>
      <family val="2"/>
      <scheme val="minor"/>
    </font>
    <font>
      <b/>
      <u/>
      <sz val="14"/>
      <color theme="4"/>
      <name val="Arial Black"/>
      <family val="2"/>
    </font>
    <font>
      <u/>
      <sz val="14"/>
      <color theme="4"/>
      <name val="Arial Black"/>
      <family val="2"/>
    </font>
    <font>
      <b/>
      <sz val="20"/>
      <color theme="4"/>
      <name val="Wingdings"/>
      <charset val="2"/>
    </font>
    <font>
      <b/>
      <sz val="16"/>
      <color theme="4"/>
      <name val="Wingdings"/>
      <charset val="2"/>
    </font>
    <font>
      <b/>
      <sz val="26"/>
      <color theme="4"/>
      <name val="Webdings"/>
      <family val="1"/>
      <charset val="2"/>
    </font>
    <font>
      <b/>
      <sz val="22"/>
      <color theme="4"/>
      <name val="Wingdings"/>
      <charset val="2"/>
    </font>
    <font>
      <b/>
      <u/>
      <sz val="11"/>
      <color theme="5"/>
      <name val="Calibri"/>
      <family val="1"/>
      <charset val="2"/>
      <scheme val="minor"/>
    </font>
    <font>
      <b/>
      <sz val="18"/>
      <color theme="5"/>
      <name val="Wingdings 2"/>
      <family val="1"/>
      <charset val="2"/>
    </font>
    <font>
      <b/>
      <sz val="15.5"/>
      <color theme="5"/>
      <name val="Calibri"/>
      <family val="2"/>
    </font>
    <font>
      <b/>
      <sz val="11"/>
      <color theme="5"/>
      <name val="Calibri"/>
      <family val="2"/>
      <scheme val="minor"/>
    </font>
    <font>
      <b/>
      <sz val="22"/>
      <color theme="5"/>
      <name val="Calibri"/>
      <family val="2"/>
      <scheme val="minor"/>
    </font>
    <font>
      <b/>
      <u/>
      <sz val="26"/>
      <color theme="5"/>
      <name val="Calibri"/>
      <family val="2"/>
      <scheme val="minor"/>
    </font>
    <font>
      <b/>
      <u/>
      <sz val="11"/>
      <color theme="5"/>
      <name val="Calibri"/>
      <family val="2"/>
      <charset val="2"/>
      <scheme val="minor"/>
    </font>
    <font>
      <b/>
      <sz val="16"/>
      <color theme="5"/>
      <name val="Calibri"/>
      <family val="2"/>
    </font>
    <font>
      <b/>
      <sz val="11"/>
      <color theme="5"/>
      <name val="Calibri"/>
      <family val="2"/>
      <charset val="2"/>
      <scheme val="minor"/>
    </font>
    <font>
      <b/>
      <sz val="18"/>
      <color theme="5"/>
      <name val="Wingdings"/>
      <charset val="2"/>
    </font>
    <font>
      <b/>
      <sz val="20"/>
      <color theme="5"/>
      <name val="Wingdings"/>
      <charset val="2"/>
    </font>
    <font>
      <b/>
      <u/>
      <sz val="11"/>
      <color theme="6" tint="-0.499984740745262"/>
      <name val="Calibri"/>
      <family val="2"/>
      <charset val="2"/>
      <scheme val="minor"/>
    </font>
    <font>
      <b/>
      <sz val="20"/>
      <color theme="6" tint="-0.499984740745262"/>
      <name val="Wingdings"/>
      <charset val="2"/>
    </font>
    <font>
      <b/>
      <sz val="20"/>
      <color theme="6" tint="-0.499984740745262"/>
      <name val="Calibri"/>
      <family val="2"/>
    </font>
    <font>
      <b/>
      <sz val="11"/>
      <color theme="4"/>
      <name val="Calibri"/>
      <family val="2"/>
      <scheme val="minor"/>
    </font>
    <font>
      <b/>
      <sz val="11"/>
      <color theme="4"/>
      <name val="Wingdings 3"/>
      <family val="1"/>
      <charset val="2"/>
    </font>
    <font>
      <b/>
      <sz val="16"/>
      <color theme="4"/>
      <name val="Arial Black"/>
      <family val="2"/>
    </font>
    <font>
      <b/>
      <u/>
      <sz val="11"/>
      <color theme="4"/>
      <name val="Calibri"/>
      <family val="2"/>
      <charset val="2"/>
      <scheme val="minor"/>
    </font>
    <font>
      <b/>
      <sz val="20"/>
      <color theme="4"/>
      <name val="Calibri"/>
      <family val="2"/>
    </font>
    <font>
      <b/>
      <sz val="14"/>
      <color theme="5"/>
      <name val="Wingdings 3"/>
      <family val="1"/>
      <charset val="2"/>
    </font>
    <font>
      <b/>
      <sz val="15.5"/>
      <color theme="5"/>
      <name val="Calibri"/>
      <family val="2"/>
      <charset val="2"/>
    </font>
  </fonts>
  <fills count="12">
    <fill>
      <patternFill patternType="none"/>
    </fill>
    <fill>
      <patternFill patternType="gray125"/>
    </fill>
    <fill>
      <gradientFill degree="180">
        <stop position="0">
          <color theme="0"/>
        </stop>
        <stop position="1">
          <color theme="4"/>
        </stop>
      </gradient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gradientFill degree="180">
        <stop position="0">
          <color theme="0"/>
        </stop>
        <stop position="1">
          <color theme="1"/>
        </stop>
      </gradientFill>
    </fill>
    <fill>
      <gradientFill degree="180">
        <stop position="0">
          <color theme="0"/>
        </stop>
        <stop position="1">
          <color theme="5"/>
        </stop>
      </gradientFill>
    </fill>
    <fill>
      <gradientFill degree="180">
        <stop position="0">
          <color theme="0"/>
        </stop>
        <stop position="1">
          <color theme="6" tint="-0.25098422193060094"/>
        </stop>
      </gradientFill>
    </fill>
    <fill>
      <patternFill patternType="solid">
        <fgColor theme="6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39997558519241921"/>
        <bgColor indexed="64"/>
      </patternFill>
    </fill>
  </fills>
  <borders count="16">
    <border>
      <left/>
      <right/>
      <top/>
      <bottom/>
      <diagonal/>
    </border>
    <border>
      <left/>
      <right style="thin">
        <color theme="5"/>
      </right>
      <top style="thin">
        <color theme="5"/>
      </top>
      <bottom style="thin">
        <color theme="5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5"/>
      </left>
      <right style="thin">
        <color theme="5"/>
      </right>
      <top style="thin">
        <color theme="5"/>
      </top>
      <bottom style="thin">
        <color theme="0"/>
      </bottom>
      <diagonal/>
    </border>
    <border>
      <left style="thin">
        <color theme="5"/>
      </left>
      <right style="thin">
        <color theme="5"/>
      </right>
      <top style="thin">
        <color theme="0"/>
      </top>
      <bottom style="thin">
        <color theme="0"/>
      </bottom>
      <diagonal/>
    </border>
    <border>
      <left style="thin">
        <color theme="5"/>
      </left>
      <right style="thin">
        <color theme="5"/>
      </right>
      <top style="thin">
        <color theme="5"/>
      </top>
      <bottom style="thin">
        <color theme="5"/>
      </bottom>
      <diagonal/>
    </border>
    <border>
      <left style="thin">
        <color theme="5"/>
      </left>
      <right/>
      <top style="thin">
        <color theme="5"/>
      </top>
      <bottom style="thin">
        <color theme="5"/>
      </bottom>
      <diagonal/>
    </border>
    <border>
      <left/>
      <right/>
      <top style="thin">
        <color theme="5"/>
      </top>
      <bottom style="thin">
        <color theme="5"/>
      </bottom>
      <diagonal/>
    </border>
    <border>
      <left style="thin">
        <color theme="5"/>
      </left>
      <right style="thin">
        <color theme="5"/>
      </right>
      <top style="thin">
        <color theme="0"/>
      </top>
      <bottom style="thin">
        <color theme="5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0" borderId="0" xfId="0" applyAlignment="1">
      <alignment horizontal="center"/>
    </xf>
    <xf numFmtId="0" fontId="3" fillId="0" borderId="0" xfId="0" applyFont="1"/>
    <xf numFmtId="0" fontId="1" fillId="3" borderId="0" xfId="0" applyFont="1" applyFill="1"/>
    <xf numFmtId="0" fontId="1" fillId="3" borderId="10" xfId="0" applyFont="1" applyFill="1" applyBorder="1"/>
    <xf numFmtId="0" fontId="1" fillId="3" borderId="11" xfId="0" applyFont="1" applyFill="1" applyBorder="1"/>
    <xf numFmtId="0" fontId="1" fillId="8" borderId="0" xfId="0" applyFont="1" applyFill="1"/>
    <xf numFmtId="0" fontId="4" fillId="0" borderId="0" xfId="0" applyFont="1" applyAlignment="1">
      <alignment horizontal="right"/>
    </xf>
    <xf numFmtId="0" fontId="6" fillId="0" borderId="0" xfId="0" applyFont="1"/>
    <xf numFmtId="0" fontId="8" fillId="0" borderId="0" xfId="0" applyFont="1"/>
    <xf numFmtId="0" fontId="9" fillId="0" borderId="0" xfId="0" applyFont="1"/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vertical="center"/>
    </xf>
    <xf numFmtId="0" fontId="19" fillId="0" borderId="0" xfId="0" quotePrefix="1" applyFont="1" applyAlignment="1">
      <alignment vertical="center"/>
    </xf>
    <xf numFmtId="0" fontId="20" fillId="0" borderId="0" xfId="0" applyFont="1" applyAlignment="1">
      <alignment vertical="center"/>
    </xf>
    <xf numFmtId="0" fontId="22" fillId="0" borderId="0" xfId="0" quotePrefix="1" applyFont="1" applyAlignment="1">
      <alignment vertical="center"/>
    </xf>
    <xf numFmtId="0" fontId="0" fillId="10" borderId="2" xfId="0" applyFill="1" applyBorder="1"/>
    <xf numFmtId="0" fontId="0" fillId="10" borderId="3" xfId="0" applyFill="1" applyBorder="1"/>
    <xf numFmtId="0" fontId="0" fillId="10" borderId="4" xfId="0" applyFill="1" applyBorder="1"/>
    <xf numFmtId="0" fontId="0" fillId="10" borderId="5" xfId="0" applyFill="1" applyBorder="1"/>
    <xf numFmtId="0" fontId="0" fillId="10" borderId="0" xfId="0" applyFill="1" applyBorder="1"/>
    <xf numFmtId="0" fontId="5" fillId="10" borderId="0" xfId="0" applyFont="1" applyFill="1" applyBorder="1" applyAlignment="1">
      <alignment horizontal="right"/>
    </xf>
    <xf numFmtId="0" fontId="0" fillId="10" borderId="6" xfId="0" applyFill="1" applyBorder="1"/>
    <xf numFmtId="0" fontId="0" fillId="10" borderId="0" xfId="0" applyFill="1"/>
    <xf numFmtId="0" fontId="0" fillId="10" borderId="7" xfId="0" applyFill="1" applyBorder="1"/>
    <xf numFmtId="0" fontId="0" fillId="10" borderId="8" xfId="0" applyFill="1" applyBorder="1"/>
    <xf numFmtId="0" fontId="0" fillId="10" borderId="9" xfId="0" applyFill="1" applyBorder="1"/>
    <xf numFmtId="0" fontId="25" fillId="0" borderId="0" xfId="0" applyFont="1" applyAlignment="1">
      <alignment horizontal="left"/>
    </xf>
    <xf numFmtId="0" fontId="28" fillId="0" borderId="0" xfId="0" applyFont="1" applyAlignment="1">
      <alignment vertical="center"/>
    </xf>
    <xf numFmtId="0" fontId="6" fillId="0" borderId="0" xfId="0" applyFont="1" applyAlignment="1">
      <alignment horizontal="right" wrapText="1"/>
    </xf>
    <xf numFmtId="0" fontId="31" fillId="0" borderId="0" xfId="0" applyFont="1" applyAlignment="1">
      <alignment horizontal="left"/>
    </xf>
    <xf numFmtId="0" fontId="1" fillId="3" borderId="12" xfId="0" applyFont="1" applyFill="1" applyBorder="1"/>
    <xf numFmtId="0" fontId="1" fillId="3" borderId="15" xfId="0" applyFont="1" applyFill="1" applyBorder="1"/>
    <xf numFmtId="0" fontId="0" fillId="4" borderId="1" xfId="0" applyFill="1" applyBorder="1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Protection="1"/>
    <xf numFmtId="0" fontId="7" fillId="11" borderId="0" xfId="0" applyFont="1" applyFill="1"/>
    <xf numFmtId="0" fontId="1" fillId="8" borderId="0" xfId="0" applyFont="1" applyFill="1" applyAlignment="1">
      <alignment horizontal="right" wrapText="1"/>
    </xf>
    <xf numFmtId="0" fontId="2" fillId="2" borderId="0" xfId="0" applyFont="1" applyFill="1" applyAlignment="1">
      <alignment horizontal="left" vertical="center"/>
    </xf>
    <xf numFmtId="0" fontId="2" fillId="6" borderId="0" xfId="0" applyFont="1" applyFill="1" applyAlignment="1">
      <alignment horizontal="left" vertical="center"/>
    </xf>
    <xf numFmtId="0" fontId="0" fillId="4" borderId="12" xfId="0" applyFill="1" applyBorder="1" applyAlignment="1" applyProtection="1">
      <alignment horizontal="left"/>
      <protection locked="0"/>
    </xf>
    <xf numFmtId="0" fontId="0" fillId="4" borderId="13" xfId="0" applyFill="1" applyBorder="1" applyAlignment="1" applyProtection="1">
      <alignment horizontal="left"/>
      <protection locked="0"/>
    </xf>
    <xf numFmtId="0" fontId="0" fillId="4" borderId="14" xfId="0" applyFill="1" applyBorder="1" applyAlignment="1" applyProtection="1">
      <alignment horizontal="left"/>
      <protection locked="0"/>
    </xf>
    <xf numFmtId="0" fontId="0" fillId="4" borderId="1" xfId="0" applyFill="1" applyBorder="1" applyAlignment="1" applyProtection="1">
      <alignment horizontal="left"/>
      <protection locked="0"/>
    </xf>
    <xf numFmtId="0" fontId="2" fillId="7" borderId="0" xfId="0" applyFont="1" applyFill="1" applyAlignment="1">
      <alignment horizontal="left" vertical="center"/>
    </xf>
    <xf numFmtId="0" fontId="30" fillId="9" borderId="0" xfId="0" applyFont="1" applyFill="1" applyAlignment="1" applyProtection="1">
      <alignment horizontal="left"/>
      <protection locked="0"/>
    </xf>
    <xf numFmtId="0" fontId="2" fillId="5" borderId="0" xfId="0" applyFont="1" applyFill="1" applyAlignment="1">
      <alignment horizontal="left"/>
    </xf>
  </cellXfs>
  <cellStyles count="1">
    <cellStyle name="Normal" xfId="0" builtinId="0"/>
  </cellStyles>
  <dxfs count="19"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/>
        <strike val="0"/>
        <outline val="0"/>
        <shadow val="0"/>
        <u val="none"/>
        <vertAlign val="baseline"/>
        <sz val="11"/>
        <color theme="6" tint="-0.499984740745262"/>
        <name val="Calibri"/>
        <scheme val="minor"/>
      </font>
      <fill>
        <patternFill patternType="solid">
          <fgColor indexed="64"/>
          <bgColor theme="6" tint="0.39997558519241921"/>
        </patternFill>
      </fill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graInf!$B$9</c:f>
              <c:strCache>
                <c:ptCount val="1"/>
                <c:pt idx="0">
                  <c:v>Horas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graInf!$C$9:$N$9</c:f>
              <c:numCache>
                <c:formatCode>General</c:formatCode>
                <c:ptCount val="12"/>
                <c:pt idx="0">
                  <c:v>22</c:v>
                </c:pt>
                <c:pt idx="1">
                  <c:v>5</c:v>
                </c:pt>
                <c:pt idx="2">
                  <c:v>20</c:v>
                </c:pt>
                <c:pt idx="3">
                  <c:v>40</c:v>
                </c:pt>
                <c:pt idx="4">
                  <c:v>2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13-47B7-9516-015A94E347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18358216"/>
        <c:axId val="318359392"/>
      </c:barChart>
      <c:lineChart>
        <c:grouping val="standard"/>
        <c:varyColors val="0"/>
        <c:ser>
          <c:idx val="0"/>
          <c:order val="0"/>
          <c:tx>
            <c:strRef>
              <c:f>graInf!$B$10</c:f>
              <c:strCache>
                <c:ptCount val="1"/>
                <c:pt idx="0">
                  <c:v>Promedio horas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graInf!$C$8:$N$8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graInf!$C$10:$N$10</c:f>
              <c:numCache>
                <c:formatCode>General</c:formatCode>
                <c:ptCount val="12"/>
                <c:pt idx="0">
                  <c:v>15.333333333333334</c:v>
                </c:pt>
                <c:pt idx="1">
                  <c:v>15.333333333333334</c:v>
                </c:pt>
                <c:pt idx="2">
                  <c:v>15.333333333333334</c:v>
                </c:pt>
                <c:pt idx="3">
                  <c:v>15.333333333333334</c:v>
                </c:pt>
                <c:pt idx="4">
                  <c:v>15.333333333333334</c:v>
                </c:pt>
                <c:pt idx="5">
                  <c:v>15.333333333333334</c:v>
                </c:pt>
                <c:pt idx="6">
                  <c:v>15.333333333333334</c:v>
                </c:pt>
                <c:pt idx="7">
                  <c:v>15.333333333333334</c:v>
                </c:pt>
                <c:pt idx="8">
                  <c:v>15.333333333333334</c:v>
                </c:pt>
                <c:pt idx="9">
                  <c:v>15.333333333333334</c:v>
                </c:pt>
                <c:pt idx="10">
                  <c:v>15.333333333333334</c:v>
                </c:pt>
                <c:pt idx="11">
                  <c:v>15.333333333333334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13-47B7-9516-015A94E347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8358216"/>
        <c:axId val="318359392"/>
      </c:lineChart>
      <c:catAx>
        <c:axId val="318358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accent1">
                    <a:lumMod val="40000"/>
                    <a:lumOff val="60000"/>
                  </a:schemeClr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endParaRPr lang="es-ES"/>
          </a:p>
        </c:txPr>
        <c:crossAx val="318359392"/>
        <c:crosses val="autoZero"/>
        <c:auto val="1"/>
        <c:lblAlgn val="ctr"/>
        <c:lblOffset val="100"/>
        <c:noMultiLvlLbl val="0"/>
      </c:catAx>
      <c:valAx>
        <c:axId val="318359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accent1">
                    <a:lumMod val="40000"/>
                    <a:lumOff val="60000"/>
                  </a:schemeClr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endParaRPr lang="es-ES"/>
          </a:p>
        </c:txPr>
        <c:crossAx val="318358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accent1"/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endParaRPr lang="es-E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endParaRPr lang="es-E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Black" panose="020B0A04020102020204" pitchFamily="34" charset="0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accent1">
            <a:lumMod val="20000"/>
            <a:lumOff val="80000"/>
          </a:schemeClr>
        </a:gs>
        <a:gs pos="100000">
          <a:schemeClr val="bg1"/>
        </a:gs>
      </a:gsLst>
      <a:lin ang="16200000" scaled="1"/>
      <a:tileRect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310745</xdr:colOff>
      <xdr:row>5</xdr:row>
      <xdr:rowOff>94574</xdr:rowOff>
    </xdr:from>
    <xdr:ext cx="2202234" cy="196039"/>
    <xdr:sp macro="[0]!navApl_iraLisTra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074096" y="1040319"/>
          <a:ext cx="2202234" cy="1960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100"/>
            <a:t>                       </a:t>
          </a:r>
        </a:p>
      </xdr:txBody>
    </xdr:sp>
    <xdr:clientData/>
  </xdr:oneCellAnchor>
  <xdr:oneCellAnchor>
    <xdr:from>
      <xdr:col>1</xdr:col>
      <xdr:colOff>202660</xdr:colOff>
      <xdr:row>7</xdr:row>
      <xdr:rowOff>47289</xdr:rowOff>
    </xdr:from>
    <xdr:ext cx="3114202" cy="182526"/>
    <xdr:sp macro="[0]!navApl_iraLisImp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966011" y="1621278"/>
          <a:ext cx="3114202" cy="18252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100"/>
            <a:t>                       </a:t>
          </a:r>
        </a:p>
      </xdr:txBody>
    </xdr:sp>
    <xdr:clientData/>
  </xdr:oneCellAnchor>
  <xdr:oneCellAnchor>
    <xdr:from>
      <xdr:col>1</xdr:col>
      <xdr:colOff>243192</xdr:colOff>
      <xdr:row>9</xdr:row>
      <xdr:rowOff>141862</xdr:rowOff>
    </xdr:from>
    <xdr:ext cx="2231209" cy="214748"/>
    <xdr:sp macro="[0]!navApl_iraGraTra" textlink="">
      <xdr:nvSpPr>
        <xdr:cNvPr id="4" name="2 CuadroTexto">
          <a:extLst>
            <a:ext uri="{FF2B5EF4-FFF2-40B4-BE49-F238E27FC236}">
              <a16:creationId xmlns:a16="http://schemas.microsoft.com/office/drawing/2014/main" id="{30E77827-148E-44C4-9C4F-0777710D3CD9}"/>
            </a:ext>
          </a:extLst>
        </xdr:cNvPr>
        <xdr:cNvSpPr txBox="1"/>
      </xdr:nvSpPr>
      <xdr:spPr>
        <a:xfrm>
          <a:off x="1006543" y="2283298"/>
          <a:ext cx="2231209" cy="2147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100"/>
            <a:t>                       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19049</xdr:colOff>
      <xdr:row>3</xdr:row>
      <xdr:rowOff>147400</xdr:rowOff>
    </xdr:from>
    <xdr:ext cx="1142865" cy="183610"/>
    <xdr:sp macro="[0]!navApl_iraMenGen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82400" y="714847"/>
          <a:ext cx="1142865" cy="18361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100"/>
            <a:t>                       </a:t>
          </a:r>
        </a:p>
      </xdr:txBody>
    </xdr:sp>
    <xdr:clientData/>
  </xdr:oneCellAnchor>
  <xdr:oneCellAnchor>
    <xdr:from>
      <xdr:col>2</xdr:col>
      <xdr:colOff>19048</xdr:colOff>
      <xdr:row>3</xdr:row>
      <xdr:rowOff>156925</xdr:rowOff>
    </xdr:from>
    <xdr:ext cx="1276081" cy="171450"/>
    <xdr:sp macro="[0]!ediTra_iraFrmTra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2876548" y="724372"/>
          <a:ext cx="1276081" cy="1714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100"/>
            <a:t>                       </a:t>
          </a:r>
        </a:p>
      </xdr:txBody>
    </xdr:sp>
    <xdr:clientData/>
  </xdr:oneCellAnchor>
  <xdr:oneCellAnchor>
    <xdr:from>
      <xdr:col>2</xdr:col>
      <xdr:colOff>2000248</xdr:colOff>
      <xdr:row>3</xdr:row>
      <xdr:rowOff>156925</xdr:rowOff>
    </xdr:from>
    <xdr:ext cx="1276081" cy="171450"/>
    <xdr:sp macro="[0]!agrTra_lisTrabaj" textlink="">
      <xdr:nvSpPr>
        <xdr:cNvPr id="4" name="3 CuadroTexto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4857748" y="724372"/>
          <a:ext cx="1276081" cy="1714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100"/>
            <a:t>                       </a:t>
          </a:r>
        </a:p>
      </xdr:txBody>
    </xdr:sp>
    <xdr:clientData/>
  </xdr:oneCellAnchor>
  <xdr:oneCellAnchor>
    <xdr:from>
      <xdr:col>3</xdr:col>
      <xdr:colOff>2019298</xdr:colOff>
      <xdr:row>3</xdr:row>
      <xdr:rowOff>137875</xdr:rowOff>
    </xdr:from>
    <xdr:ext cx="1276081" cy="171450"/>
    <xdr:sp macro="[0]!eliTra_lisTrabaj" textlink="">
      <xdr:nvSpPr>
        <xdr:cNvPr id="5" name="4 CuadroTexto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6970947" y="705322"/>
          <a:ext cx="1276081" cy="1714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100"/>
            <a:t>                       </a:t>
          </a:r>
        </a:p>
      </xdr:txBody>
    </xdr:sp>
    <xdr:clientData/>
  </xdr:oneCellAnchor>
  <xdr:oneCellAnchor>
    <xdr:from>
      <xdr:col>5</xdr:col>
      <xdr:colOff>40533</xdr:colOff>
      <xdr:row>3</xdr:row>
      <xdr:rowOff>151384</xdr:rowOff>
    </xdr:from>
    <xdr:ext cx="749840" cy="171450"/>
    <xdr:sp macro="[0]!ordTra_lisTrabaj" textlink="">
      <xdr:nvSpPr>
        <xdr:cNvPr id="6" name="4 CuadroTexto">
          <a:extLst>
            <a:ext uri="{FF2B5EF4-FFF2-40B4-BE49-F238E27FC236}">
              <a16:creationId xmlns:a16="http://schemas.microsoft.com/office/drawing/2014/main" id="{47B7F463-AA33-4ED8-BDB3-FB98407DDE19}"/>
            </a:ext>
          </a:extLst>
        </xdr:cNvPr>
        <xdr:cNvSpPr txBox="1"/>
      </xdr:nvSpPr>
      <xdr:spPr>
        <a:xfrm>
          <a:off x="8754895" y="718831"/>
          <a:ext cx="749840" cy="1714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100"/>
            <a:t>                       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273327</xdr:colOff>
      <xdr:row>5</xdr:row>
      <xdr:rowOff>16567</xdr:rowOff>
    </xdr:from>
    <xdr:ext cx="2038238" cy="157368"/>
    <xdr:sp macro="[0]!actDat_iraLisTra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6327914" y="969067"/>
          <a:ext cx="2038238" cy="1573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100"/>
            <a:t>                       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40532</xdr:colOff>
      <xdr:row>3</xdr:row>
      <xdr:rowOff>119163</xdr:rowOff>
    </xdr:from>
    <xdr:ext cx="1127669" cy="172651"/>
    <xdr:sp macro="[0]!navApl_iraMenGen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803883" y="686610"/>
          <a:ext cx="1127669" cy="1726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000"/>
            <a:t>                          </a:t>
          </a:r>
        </a:p>
      </xdr:txBody>
    </xdr:sp>
    <xdr:clientData/>
  </xdr:oneCellAnchor>
  <xdr:oneCellAnchor>
    <xdr:from>
      <xdr:col>2</xdr:col>
      <xdr:colOff>128927</xdr:colOff>
      <xdr:row>3</xdr:row>
      <xdr:rowOff>133501</xdr:rowOff>
    </xdr:from>
    <xdr:ext cx="576000" cy="172651"/>
    <xdr:sp macro="[0]!impHor_subMes001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3564731" y="705001"/>
          <a:ext cx="576000" cy="1726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000"/>
            <a:t>                          </a:t>
          </a:r>
        </a:p>
      </xdr:txBody>
    </xdr:sp>
    <xdr:clientData/>
  </xdr:oneCellAnchor>
  <xdr:oneCellAnchor>
    <xdr:from>
      <xdr:col>3</xdr:col>
      <xdr:colOff>128495</xdr:colOff>
      <xdr:row>3</xdr:row>
      <xdr:rowOff>133501</xdr:rowOff>
    </xdr:from>
    <xdr:ext cx="576000" cy="172651"/>
    <xdr:sp macro="[0]!impHor_subMes002" textlink="">
      <xdr:nvSpPr>
        <xdr:cNvPr id="4" name="3 CuadroTexto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4305888" y="705001"/>
          <a:ext cx="576000" cy="1726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000"/>
            <a:t>                          </a:t>
          </a:r>
        </a:p>
      </xdr:txBody>
    </xdr:sp>
    <xdr:clientData/>
  </xdr:oneCellAnchor>
  <xdr:oneCellAnchor>
    <xdr:from>
      <xdr:col>4</xdr:col>
      <xdr:colOff>128063</xdr:colOff>
      <xdr:row>3</xdr:row>
      <xdr:rowOff>133501</xdr:rowOff>
    </xdr:from>
    <xdr:ext cx="576000" cy="172651"/>
    <xdr:sp macro="[0]!impHor_subMes003" textlink="">
      <xdr:nvSpPr>
        <xdr:cNvPr id="5" name="4 CuadroTexto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5047045" y="705001"/>
          <a:ext cx="576000" cy="1726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000"/>
            <a:t>                          </a:t>
          </a:r>
        </a:p>
      </xdr:txBody>
    </xdr:sp>
    <xdr:clientData/>
  </xdr:oneCellAnchor>
  <xdr:oneCellAnchor>
    <xdr:from>
      <xdr:col>5</xdr:col>
      <xdr:colOff>127631</xdr:colOff>
      <xdr:row>3</xdr:row>
      <xdr:rowOff>133501</xdr:rowOff>
    </xdr:from>
    <xdr:ext cx="576000" cy="172651"/>
    <xdr:sp macro="[0]!impHor_subMes004" textlink="">
      <xdr:nvSpPr>
        <xdr:cNvPr id="6" name="5 CuadroTexto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5788202" y="705001"/>
          <a:ext cx="576000" cy="1726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000"/>
            <a:t>                          </a:t>
          </a:r>
        </a:p>
      </xdr:txBody>
    </xdr:sp>
    <xdr:clientData/>
  </xdr:oneCellAnchor>
  <xdr:oneCellAnchor>
    <xdr:from>
      <xdr:col>6</xdr:col>
      <xdr:colOff>127198</xdr:colOff>
      <xdr:row>3</xdr:row>
      <xdr:rowOff>133501</xdr:rowOff>
    </xdr:from>
    <xdr:ext cx="576000" cy="172651"/>
    <xdr:sp macro="[0]!impHor_subMes005" textlink="">
      <xdr:nvSpPr>
        <xdr:cNvPr id="7" name="6 CuadroTexto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6529359" y="705001"/>
          <a:ext cx="576000" cy="1726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000"/>
            <a:t>                          </a:t>
          </a:r>
        </a:p>
      </xdr:txBody>
    </xdr:sp>
    <xdr:clientData/>
  </xdr:oneCellAnchor>
  <xdr:oneCellAnchor>
    <xdr:from>
      <xdr:col>7</xdr:col>
      <xdr:colOff>126766</xdr:colOff>
      <xdr:row>3</xdr:row>
      <xdr:rowOff>133501</xdr:rowOff>
    </xdr:from>
    <xdr:ext cx="576000" cy="172651"/>
    <xdr:sp macro="[0]!impHor_subMes006" textlink="">
      <xdr:nvSpPr>
        <xdr:cNvPr id="8" name="7 CuadroTexto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7270516" y="705001"/>
          <a:ext cx="576000" cy="1726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000"/>
            <a:t>                          </a:t>
          </a:r>
        </a:p>
      </xdr:txBody>
    </xdr:sp>
    <xdr:clientData/>
  </xdr:oneCellAnchor>
  <xdr:oneCellAnchor>
    <xdr:from>
      <xdr:col>8</xdr:col>
      <xdr:colOff>126334</xdr:colOff>
      <xdr:row>3</xdr:row>
      <xdr:rowOff>133501</xdr:rowOff>
    </xdr:from>
    <xdr:ext cx="576000" cy="172651"/>
    <xdr:sp macro="[0]!impHor_subMes007" textlink="">
      <xdr:nvSpPr>
        <xdr:cNvPr id="9" name="8 CuadroTexto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8011673" y="705001"/>
          <a:ext cx="576000" cy="1726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000"/>
            <a:t>                          </a:t>
          </a:r>
        </a:p>
      </xdr:txBody>
    </xdr:sp>
    <xdr:clientData/>
  </xdr:oneCellAnchor>
  <xdr:oneCellAnchor>
    <xdr:from>
      <xdr:col>9</xdr:col>
      <xdr:colOff>125902</xdr:colOff>
      <xdr:row>3</xdr:row>
      <xdr:rowOff>133501</xdr:rowOff>
    </xdr:from>
    <xdr:ext cx="576000" cy="172651"/>
    <xdr:sp macro="[0]!impHor_subMes008" textlink="">
      <xdr:nvSpPr>
        <xdr:cNvPr id="10" name="9 CuadroTexto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 txBox="1"/>
      </xdr:nvSpPr>
      <xdr:spPr>
        <a:xfrm>
          <a:off x="8752831" y="705001"/>
          <a:ext cx="576000" cy="1726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000"/>
            <a:t>                          </a:t>
          </a:r>
        </a:p>
      </xdr:txBody>
    </xdr:sp>
    <xdr:clientData/>
  </xdr:oneCellAnchor>
  <xdr:oneCellAnchor>
    <xdr:from>
      <xdr:col>10</xdr:col>
      <xdr:colOff>125469</xdr:colOff>
      <xdr:row>3</xdr:row>
      <xdr:rowOff>133501</xdr:rowOff>
    </xdr:from>
    <xdr:ext cx="576000" cy="172651"/>
    <xdr:sp macro="[0]!impHor_subMes009" textlink="">
      <xdr:nvSpPr>
        <xdr:cNvPr id="11" name="10 CuadroTexto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 txBox="1"/>
      </xdr:nvSpPr>
      <xdr:spPr>
        <a:xfrm>
          <a:off x="9493987" y="705001"/>
          <a:ext cx="576000" cy="1726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000"/>
            <a:t>                          </a:t>
          </a:r>
        </a:p>
      </xdr:txBody>
    </xdr:sp>
    <xdr:clientData/>
  </xdr:oneCellAnchor>
  <xdr:oneCellAnchor>
    <xdr:from>
      <xdr:col>11</xdr:col>
      <xdr:colOff>125037</xdr:colOff>
      <xdr:row>3</xdr:row>
      <xdr:rowOff>133501</xdr:rowOff>
    </xdr:from>
    <xdr:ext cx="576000" cy="172651"/>
    <xdr:sp macro="[0]!impHor_subMes010" textlink="">
      <xdr:nvSpPr>
        <xdr:cNvPr id="12" name="11 CuadroTexto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 txBox="1"/>
      </xdr:nvSpPr>
      <xdr:spPr>
        <a:xfrm>
          <a:off x="10235144" y="705001"/>
          <a:ext cx="576000" cy="1726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000"/>
            <a:t>                          </a:t>
          </a:r>
        </a:p>
      </xdr:txBody>
    </xdr:sp>
    <xdr:clientData/>
  </xdr:oneCellAnchor>
  <xdr:oneCellAnchor>
    <xdr:from>
      <xdr:col>12</xdr:col>
      <xdr:colOff>124605</xdr:colOff>
      <xdr:row>3</xdr:row>
      <xdr:rowOff>133501</xdr:rowOff>
    </xdr:from>
    <xdr:ext cx="576000" cy="172651"/>
    <xdr:sp macro="[0]!impHor_subMes011" textlink="">
      <xdr:nvSpPr>
        <xdr:cNvPr id="13" name="12 CuadroTexto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 txBox="1"/>
      </xdr:nvSpPr>
      <xdr:spPr>
        <a:xfrm>
          <a:off x="10976301" y="705001"/>
          <a:ext cx="576000" cy="1726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000"/>
            <a:t>                          </a:t>
          </a:r>
        </a:p>
      </xdr:txBody>
    </xdr:sp>
    <xdr:clientData/>
  </xdr:oneCellAnchor>
  <xdr:oneCellAnchor>
    <xdr:from>
      <xdr:col>13</xdr:col>
      <xdr:colOff>124168</xdr:colOff>
      <xdr:row>3</xdr:row>
      <xdr:rowOff>133501</xdr:rowOff>
    </xdr:from>
    <xdr:ext cx="576000" cy="172651"/>
    <xdr:sp macro="[0]!impHor_subMes012" textlink="">
      <xdr:nvSpPr>
        <xdr:cNvPr id="14" name="13 CuadroTexto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 txBox="1"/>
      </xdr:nvSpPr>
      <xdr:spPr>
        <a:xfrm>
          <a:off x="11717454" y="705001"/>
          <a:ext cx="576000" cy="1726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000"/>
            <a:t>                          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676</xdr:colOff>
      <xdr:row>6</xdr:row>
      <xdr:rowOff>13511</xdr:rowOff>
    </xdr:from>
    <xdr:to>
      <xdr:col>14</xdr:col>
      <xdr:colOff>344521</xdr:colOff>
      <xdr:row>18</xdr:row>
      <xdr:rowOff>38100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A85C9C7-E458-4525-9108-197B431DAE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</xdr:col>
      <xdr:colOff>40532</xdr:colOff>
      <xdr:row>4</xdr:row>
      <xdr:rowOff>119163</xdr:rowOff>
    </xdr:from>
    <xdr:ext cx="1127669" cy="172651"/>
    <xdr:sp macro="[0]!navApl_iraMenGen" textlink="">
      <xdr:nvSpPr>
        <xdr:cNvPr id="3" name="1 CuadroTexto">
          <a:extLst>
            <a:ext uri="{FF2B5EF4-FFF2-40B4-BE49-F238E27FC236}">
              <a16:creationId xmlns:a16="http://schemas.microsoft.com/office/drawing/2014/main" id="{2DF57909-53F3-4766-890B-FF4A6C1E2EE8}"/>
            </a:ext>
          </a:extLst>
        </xdr:cNvPr>
        <xdr:cNvSpPr txBox="1"/>
      </xdr:nvSpPr>
      <xdr:spPr>
        <a:xfrm>
          <a:off x="802532" y="690663"/>
          <a:ext cx="1127669" cy="1726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000"/>
            <a:t>                          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id="1" name="tblUsr_lisTrabaj" displayName="tblUsr_lisTrabaj" ref="B7:F17" totalsRowShown="0" dataDxfId="18">
  <autoFilter ref="B7:F17"/>
  <sortState ref="B8:F17">
    <sortCondition ref="B7:B17"/>
  </sortState>
  <tableColumns count="5">
    <tableColumn id="1" name="codTra" dataDxfId="17"/>
    <tableColumn id="2" name="nomTra" dataDxfId="16"/>
    <tableColumn id="3" name="cam03" dataDxfId="15"/>
    <tableColumn id="4" name="cam04" dataDxfId="14"/>
    <tableColumn id="5" name="cam05" dataDxfId="13"/>
  </tableColumns>
  <tableStyleInfo name="TableStyleLight17" showFirstColumn="0" showLastColumn="0" showRowStripes="1" showColumnStripes="0"/>
</table>
</file>

<file path=xl/tables/table2.xml><?xml version="1.0" encoding="utf-8"?>
<table xmlns="http://schemas.openxmlformats.org/spreadsheetml/2006/main" id="5" name="tblUsr_lisImpHor" displayName="tblUsr_lisImpHor" ref="B7:N17" totalsRowShown="0">
  <autoFilter ref="B7:N17"/>
  <tableColumns count="13">
    <tableColumn id="1" name="nomTra" dataDxfId="12"/>
    <tableColumn id="2" name="1" dataDxfId="11"/>
    <tableColumn id="3" name="2" dataDxfId="10"/>
    <tableColumn id="4" name="3" dataDxfId="9"/>
    <tableColumn id="5" name="4" dataDxfId="8"/>
    <tableColumn id="6" name="5" dataDxfId="7"/>
    <tableColumn id="7" name="6" dataDxfId="6"/>
    <tableColumn id="8" name="7" dataDxfId="5"/>
    <tableColumn id="9" name="8" dataDxfId="4"/>
    <tableColumn id="10" name="9" dataDxfId="3"/>
    <tableColumn id="11" name="10" dataDxfId="2"/>
    <tableColumn id="12" name="11" dataDxfId="1"/>
    <tableColumn id="13" name="12" dataDxfId="0"/>
  </tableColumns>
  <tableStyleInfo name="TableStyleLight18" showFirstColumn="0" showLastColumn="0" showRowStripes="1" showColumnStripes="0"/>
</table>
</file>

<file path=xl/tables/table3.xml><?xml version="1.0" encoding="utf-8"?>
<table xmlns="http://schemas.openxmlformats.org/spreadsheetml/2006/main" id="2" name="tblAux_itmLisC03" displayName="tblAux_itmLisC03" ref="B6:B11" totalsRowShown="0">
  <autoFilter ref="B6:B11"/>
  <tableColumns count="1">
    <tableColumn id="1" name="Lista desplegable para campo 3 en frmItm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3" name="tblAux_itmLisC04" displayName="tblAux_itmLisC04" ref="D6:D11" totalsRowShown="0">
  <autoFilter ref="D6:D11"/>
  <tableColumns count="1">
    <tableColumn id="1" name="Lista desplegable para campo 4 en frmItm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4" name="tblAux_itmLisC05" displayName="tblAux_itmLisC05" ref="F6:F11" totalsRowShown="0">
  <autoFilter ref="F6:F11"/>
  <tableColumns count="1">
    <tableColumn id="1" name="Lista desplegable para campo 5 en frmItm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Usr_menGen">
    <tabColor theme="1"/>
  </sheetPr>
  <dimension ref="A1:G14"/>
  <sheetViews>
    <sheetView showGridLines="0" tabSelected="1" zoomScaleNormal="100" workbookViewId="0">
      <selection activeCell="G3" sqref="G3"/>
    </sheetView>
  </sheetViews>
  <sheetFormatPr baseColWidth="10" defaultRowHeight="15"/>
  <cols>
    <col min="3" max="3" width="42.85546875" customWidth="1"/>
  </cols>
  <sheetData>
    <row r="1" spans="1:7" ht="15" customHeight="1">
      <c r="A1" s="40" t="s">
        <v>0</v>
      </c>
      <c r="B1" s="40"/>
      <c r="C1" s="40"/>
      <c r="D1" s="40"/>
      <c r="E1" s="40"/>
      <c r="F1" s="40"/>
      <c r="G1" s="40"/>
    </row>
    <row r="2" spans="1:7" ht="15" customHeight="1">
      <c r="A2" s="40"/>
      <c r="B2" s="40"/>
      <c r="C2" s="40"/>
      <c r="D2" s="40"/>
      <c r="E2" s="40"/>
      <c r="F2" s="40"/>
      <c r="G2" s="40"/>
    </row>
    <row r="6" spans="1:7" ht="27">
      <c r="B6" s="13">
        <v>3</v>
      </c>
      <c r="C6" s="9" t="s">
        <v>88</v>
      </c>
    </row>
    <row r="7" spans="1:7" ht="22.5">
      <c r="C7" s="10"/>
    </row>
    <row r="8" spans="1:7" ht="22.5">
      <c r="B8" s="11">
        <v>1</v>
      </c>
      <c r="C8" s="9" t="s">
        <v>20</v>
      </c>
    </row>
    <row r="9" spans="1:7" ht="22.5">
      <c r="C9" s="10"/>
    </row>
    <row r="10" spans="1:7" ht="32.25">
      <c r="B10" s="12" t="s">
        <v>77</v>
      </c>
      <c r="C10" s="9" t="s">
        <v>76</v>
      </c>
    </row>
    <row r="12" spans="1:7">
      <c r="C12" s="2"/>
    </row>
    <row r="14" spans="1:7">
      <c r="C14" s="2"/>
    </row>
  </sheetData>
  <sheetProtection sheet="1" objects="1" scenarios="1" selectLockedCells="1"/>
  <mergeCells count="1">
    <mergeCell ref="A1:G2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Usr_lisTra">
    <tabColor theme="5"/>
  </sheetPr>
  <dimension ref="A1:F17"/>
  <sheetViews>
    <sheetView showGridLines="0" zoomScaleNormal="100" workbookViewId="0">
      <pane ySplit="7" topLeftCell="A8" activePane="bottomLeft" state="frozen"/>
      <selection pane="bottomLeft" activeCell="C11" sqref="C11"/>
    </sheetView>
  </sheetViews>
  <sheetFormatPr baseColWidth="10" defaultRowHeight="15"/>
  <cols>
    <col min="2" max="2" width="25" customWidth="1"/>
    <col min="3" max="6" width="31.42578125" customWidth="1"/>
  </cols>
  <sheetData>
    <row r="1" spans="1:6" ht="15" customHeight="1">
      <c r="A1" s="41" t="s">
        <v>88</v>
      </c>
      <c r="B1" s="41"/>
      <c r="C1" s="41"/>
    </row>
    <row r="2" spans="1:6" ht="15" customHeight="1">
      <c r="A2" s="41"/>
      <c r="B2" s="41"/>
      <c r="C2" s="41"/>
    </row>
    <row r="4" spans="1:6" ht="33.75">
      <c r="B4" s="16" t="s">
        <v>81</v>
      </c>
      <c r="C4" s="14" t="s">
        <v>79</v>
      </c>
      <c r="D4" s="15" t="s">
        <v>78</v>
      </c>
      <c r="E4" s="17" t="s">
        <v>80</v>
      </c>
      <c r="F4" s="17" t="s">
        <v>87</v>
      </c>
    </row>
    <row r="6" spans="1:6">
      <c r="B6" s="3" t="s">
        <v>1</v>
      </c>
      <c r="C6" s="3" t="s">
        <v>71</v>
      </c>
      <c r="D6" s="3" t="s">
        <v>3</v>
      </c>
      <c r="E6" s="3" t="s">
        <v>4</v>
      </c>
      <c r="F6" s="3" t="s">
        <v>5</v>
      </c>
    </row>
    <row r="7" spans="1:6" hidden="1">
      <c r="B7" t="s">
        <v>89</v>
      </c>
      <c r="C7" t="s">
        <v>72</v>
      </c>
      <c r="D7" t="s">
        <v>90</v>
      </c>
      <c r="E7" t="s">
        <v>91</v>
      </c>
      <c r="F7" t="s">
        <v>92</v>
      </c>
    </row>
    <row r="8" spans="1:6">
      <c r="B8" s="37" t="s">
        <v>6</v>
      </c>
      <c r="C8" s="37" t="s">
        <v>23</v>
      </c>
      <c r="D8" s="37" t="s">
        <v>30</v>
      </c>
      <c r="E8" s="37" t="s">
        <v>38</v>
      </c>
      <c r="F8" s="37" t="s">
        <v>43</v>
      </c>
    </row>
    <row r="9" spans="1:6">
      <c r="B9" s="37" t="s">
        <v>7</v>
      </c>
      <c r="C9" s="37" t="s">
        <v>24</v>
      </c>
      <c r="D9" s="37" t="s">
        <v>31</v>
      </c>
      <c r="E9" s="37" t="s">
        <v>38</v>
      </c>
      <c r="F9" s="37" t="s">
        <v>44</v>
      </c>
    </row>
    <row r="10" spans="1:6">
      <c r="B10" s="37" t="s">
        <v>8</v>
      </c>
      <c r="C10" s="37" t="s">
        <v>25</v>
      </c>
      <c r="D10" s="37" t="s">
        <v>31</v>
      </c>
      <c r="E10" s="37" t="s">
        <v>39</v>
      </c>
      <c r="F10" s="37" t="s">
        <v>40</v>
      </c>
    </row>
    <row r="11" spans="1:6">
      <c r="B11" s="37" t="s">
        <v>9</v>
      </c>
      <c r="C11" s="37" t="s">
        <v>26</v>
      </c>
      <c r="D11" s="37" t="s">
        <v>33</v>
      </c>
      <c r="E11" s="37" t="s">
        <v>39</v>
      </c>
      <c r="F11" s="37" t="s">
        <v>41</v>
      </c>
    </row>
    <row r="12" spans="1:6">
      <c r="B12" s="37" t="s">
        <v>10</v>
      </c>
      <c r="C12" s="37" t="s">
        <v>27</v>
      </c>
      <c r="D12" s="37" t="s">
        <v>33</v>
      </c>
      <c r="E12" s="37" t="s">
        <v>37</v>
      </c>
      <c r="F12" s="37" t="s">
        <v>44</v>
      </c>
    </row>
    <row r="13" spans="1:6">
      <c r="B13" s="37" t="s">
        <v>11</v>
      </c>
      <c r="C13" s="37" t="s">
        <v>28</v>
      </c>
      <c r="D13" s="37" t="s">
        <v>31</v>
      </c>
      <c r="E13" s="37" t="s">
        <v>37</v>
      </c>
      <c r="F13" s="37" t="s">
        <v>44</v>
      </c>
    </row>
    <row r="14" spans="1:6">
      <c r="B14" s="37" t="s">
        <v>12</v>
      </c>
      <c r="C14" s="37" t="s">
        <v>29</v>
      </c>
      <c r="D14" s="37" t="s">
        <v>33</v>
      </c>
      <c r="E14" s="37" t="s">
        <v>38</v>
      </c>
      <c r="F14" s="37" t="s">
        <v>44</v>
      </c>
    </row>
    <row r="15" spans="1:6">
      <c r="B15" s="37" t="s">
        <v>13</v>
      </c>
      <c r="C15" s="37" t="s">
        <v>86</v>
      </c>
      <c r="D15" s="37" t="s">
        <v>30</v>
      </c>
      <c r="E15" s="37" t="s">
        <v>37</v>
      </c>
      <c r="F15" s="37" t="s">
        <v>42</v>
      </c>
    </row>
    <row r="16" spans="1:6">
      <c r="B16" s="37" t="s">
        <v>14</v>
      </c>
      <c r="C16" s="37" t="s">
        <v>45</v>
      </c>
      <c r="D16" s="37" t="s">
        <v>33</v>
      </c>
      <c r="E16" s="37" t="s">
        <v>37</v>
      </c>
      <c r="F16" s="37" t="s">
        <v>44</v>
      </c>
    </row>
    <row r="17" spans="2:6">
      <c r="B17" s="37" t="s">
        <v>15</v>
      </c>
      <c r="C17" s="37" t="s">
        <v>94</v>
      </c>
      <c r="D17" s="37" t="s">
        <v>33</v>
      </c>
      <c r="E17" s="37" t="s">
        <v>38</v>
      </c>
      <c r="F17" s="37" t="s">
        <v>44</v>
      </c>
    </row>
  </sheetData>
  <sheetProtection sheet="1" objects="1" scenarios="1"/>
  <mergeCells count="1">
    <mergeCell ref="A1:C2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Usr_frmTra">
    <tabColor theme="5"/>
  </sheetPr>
  <dimension ref="A1:K21"/>
  <sheetViews>
    <sheetView showGridLines="0" zoomScaleNormal="100" workbookViewId="0">
      <selection activeCell="G19" sqref="G19:J19"/>
    </sheetView>
  </sheetViews>
  <sheetFormatPr baseColWidth="10" defaultRowHeight="15"/>
  <cols>
    <col min="2" max="2" width="18.42578125" customWidth="1"/>
    <col min="3" max="3" width="18.28515625" customWidth="1"/>
    <col min="4" max="4" width="15.42578125" customWidth="1"/>
    <col min="5" max="5" width="29.140625" customWidth="1"/>
    <col min="6" max="6" width="11.42578125" customWidth="1"/>
    <col min="7" max="7" width="11" customWidth="1"/>
    <col min="11" max="11" width="13.140625" customWidth="1"/>
  </cols>
  <sheetData>
    <row r="1" spans="1:11" ht="15" customHeight="1">
      <c r="A1" s="41" t="s">
        <v>93</v>
      </c>
      <c r="B1" s="41"/>
      <c r="C1" s="41"/>
      <c r="D1" s="41"/>
      <c r="E1" s="41"/>
    </row>
    <row r="2" spans="1:11" ht="15" customHeight="1">
      <c r="A2" s="41"/>
      <c r="B2" s="41"/>
      <c r="C2" s="41"/>
      <c r="D2" s="41"/>
      <c r="E2" s="41"/>
    </row>
    <row r="5" spans="1:11">
      <c r="B5" s="18"/>
      <c r="C5" s="19"/>
      <c r="D5" s="19"/>
      <c r="E5" s="19"/>
      <c r="F5" s="19"/>
      <c r="G5" s="19"/>
      <c r="H5" s="19"/>
      <c r="I5" s="19"/>
      <c r="J5" s="19"/>
      <c r="K5" s="20"/>
    </row>
    <row r="6" spans="1:11">
      <c r="B6" s="21"/>
      <c r="C6" s="22"/>
      <c r="D6" s="22"/>
      <c r="E6" s="22"/>
      <c r="F6" s="22"/>
      <c r="G6" s="22"/>
      <c r="H6" s="22"/>
      <c r="I6" s="22"/>
      <c r="J6" s="23" t="s">
        <v>22</v>
      </c>
      <c r="K6" s="24"/>
    </row>
    <row r="7" spans="1:11">
      <c r="B7" s="21"/>
      <c r="C7" s="25"/>
      <c r="D7" s="25"/>
      <c r="E7" s="22"/>
      <c r="F7" s="22"/>
      <c r="G7" s="22"/>
      <c r="H7" s="22"/>
      <c r="I7" s="22"/>
      <c r="J7" s="22"/>
      <c r="K7" s="24"/>
    </row>
    <row r="8" spans="1:11">
      <c r="B8" s="21"/>
      <c r="C8" s="25"/>
      <c r="D8" s="25"/>
      <c r="E8" s="22"/>
      <c r="F8" s="22"/>
      <c r="G8" s="22"/>
      <c r="H8" s="22"/>
      <c r="I8" s="22"/>
      <c r="J8" s="22"/>
      <c r="K8" s="24"/>
    </row>
    <row r="9" spans="1:11">
      <c r="B9" s="21"/>
      <c r="C9" s="33" t="s">
        <v>1</v>
      </c>
      <c r="D9" s="35" t="s">
        <v>9</v>
      </c>
      <c r="E9" s="22"/>
      <c r="F9" s="22"/>
      <c r="G9" s="22"/>
      <c r="H9" s="22"/>
      <c r="I9" s="22"/>
      <c r="J9" s="22"/>
      <c r="K9" s="24"/>
    </row>
    <row r="10" spans="1:11">
      <c r="B10" s="21"/>
      <c r="C10" s="25"/>
      <c r="D10" s="25"/>
      <c r="E10" s="22"/>
      <c r="F10" s="22"/>
      <c r="G10" s="22"/>
      <c r="H10" s="22"/>
      <c r="I10" s="22"/>
      <c r="J10" s="22"/>
      <c r="K10" s="24"/>
    </row>
    <row r="11" spans="1:11">
      <c r="B11" s="21"/>
      <c r="C11" s="25"/>
      <c r="D11" s="25"/>
      <c r="E11" s="25"/>
      <c r="F11" s="25"/>
      <c r="G11" s="25"/>
      <c r="H11" s="25"/>
      <c r="I11" s="25"/>
      <c r="J11" s="25"/>
      <c r="K11" s="24"/>
    </row>
    <row r="12" spans="1:11">
      <c r="B12" s="21"/>
      <c r="C12" s="33" t="s">
        <v>2</v>
      </c>
      <c r="D12" s="43" t="s">
        <v>26</v>
      </c>
      <c r="E12" s="44"/>
      <c r="F12" s="44"/>
      <c r="G12" s="45"/>
      <c r="H12" s="25"/>
      <c r="I12" s="25"/>
      <c r="J12" s="25"/>
      <c r="K12" s="24"/>
    </row>
    <row r="13" spans="1:11">
      <c r="B13" s="21"/>
      <c r="C13" s="25"/>
      <c r="D13" s="25"/>
      <c r="E13" s="22"/>
      <c r="F13" s="22"/>
      <c r="G13" s="22"/>
      <c r="H13" s="22"/>
      <c r="I13" s="22"/>
      <c r="J13" s="22"/>
      <c r="K13" s="24"/>
    </row>
    <row r="14" spans="1:11">
      <c r="B14" s="21"/>
      <c r="C14" s="22"/>
      <c r="D14" s="22"/>
      <c r="E14" s="22"/>
      <c r="F14" s="22"/>
      <c r="G14" s="22"/>
      <c r="H14" s="22"/>
      <c r="I14" s="22"/>
      <c r="J14" s="22"/>
      <c r="K14" s="24"/>
    </row>
    <row r="15" spans="1:11">
      <c r="B15" s="21"/>
      <c r="C15" s="22"/>
      <c r="D15" s="22"/>
      <c r="E15" s="22"/>
      <c r="F15" s="22"/>
      <c r="G15" s="22"/>
      <c r="H15" s="22"/>
      <c r="I15" s="22"/>
      <c r="J15" s="22"/>
      <c r="K15" s="24"/>
    </row>
    <row r="16" spans="1:11">
      <c r="B16" s="21"/>
      <c r="C16" s="22"/>
      <c r="D16" s="22"/>
      <c r="E16" s="22"/>
      <c r="F16" s="22"/>
      <c r="G16" s="22"/>
      <c r="H16" s="22"/>
      <c r="I16" s="22"/>
      <c r="J16" s="22"/>
      <c r="K16" s="24"/>
    </row>
    <row r="17" spans="2:11">
      <c r="B17" s="21"/>
      <c r="C17" s="25"/>
      <c r="D17" s="25"/>
      <c r="E17" s="22"/>
      <c r="F17" s="4" t="s">
        <v>3</v>
      </c>
      <c r="G17" s="42" t="s">
        <v>33</v>
      </c>
      <c r="H17" s="42"/>
      <c r="I17" s="42"/>
      <c r="J17" s="42"/>
      <c r="K17" s="24"/>
    </row>
    <row r="18" spans="2:11">
      <c r="B18" s="21"/>
      <c r="C18" s="25"/>
      <c r="D18" s="25"/>
      <c r="E18" s="22"/>
      <c r="F18" s="5" t="s">
        <v>4</v>
      </c>
      <c r="G18" s="42" t="s">
        <v>39</v>
      </c>
      <c r="H18" s="42"/>
      <c r="I18" s="42"/>
      <c r="J18" s="42"/>
      <c r="K18" s="24"/>
    </row>
    <row r="19" spans="2:11">
      <c r="B19" s="21"/>
      <c r="C19" s="25"/>
      <c r="D19" s="25"/>
      <c r="E19" s="22"/>
      <c r="F19" s="34" t="s">
        <v>5</v>
      </c>
      <c r="G19" s="42" t="s">
        <v>41</v>
      </c>
      <c r="H19" s="42"/>
      <c r="I19" s="42"/>
      <c r="J19" s="42"/>
      <c r="K19" s="24"/>
    </row>
    <row r="20" spans="2:11">
      <c r="B20" s="21"/>
      <c r="C20" s="25"/>
      <c r="D20" s="25"/>
      <c r="E20" s="22"/>
      <c r="F20" s="22"/>
      <c r="G20" s="22"/>
      <c r="H20" s="22"/>
      <c r="I20" s="22"/>
      <c r="J20" s="22"/>
      <c r="K20" s="24"/>
    </row>
    <row r="21" spans="2:11">
      <c r="B21" s="26"/>
      <c r="C21" s="27"/>
      <c r="D21" s="27"/>
      <c r="E21" s="27"/>
      <c r="F21" s="27"/>
      <c r="G21" s="27"/>
      <c r="H21" s="27"/>
      <c r="I21" s="27"/>
      <c r="J21" s="27"/>
      <c r="K21" s="28"/>
    </row>
  </sheetData>
  <sheetProtection sheet="1" objects="1" scenarios="1" selectLockedCells="1"/>
  <mergeCells count="5">
    <mergeCell ref="G17:J17"/>
    <mergeCell ref="G18:J18"/>
    <mergeCell ref="G19:J19"/>
    <mergeCell ref="A1:E2"/>
    <mergeCell ref="D12:G12"/>
  </mergeCells>
  <dataValidations count="3">
    <dataValidation type="list" allowBlank="1" showInputMessage="1" showErrorMessage="1" sqref="G17:J17">
      <formula1>INDIRECT("tblAux_itmLisC03")</formula1>
    </dataValidation>
    <dataValidation type="list" allowBlank="1" showInputMessage="1" showErrorMessage="1" sqref="G18:J18">
      <formula1>INDIRECT("tblAux_itmLisC04")</formula1>
    </dataValidation>
    <dataValidation type="list" allowBlank="1" showInputMessage="1" showErrorMessage="1" sqref="G19:J19">
      <formula1>INDIRECT("tblAux_itmLisC05")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Usr_lisImp">
    <tabColor theme="6" tint="-0.249977111117893"/>
  </sheetPr>
  <dimension ref="A1:N17"/>
  <sheetViews>
    <sheetView showGridLines="0" zoomScaleNormal="100" workbookViewId="0">
      <pane ySplit="7" topLeftCell="A8" activePane="bottomLeft" state="frozen"/>
      <selection activeCell="C15" sqref="C15"/>
      <selection pane="bottomLeft" activeCell="I13" sqref="I13"/>
    </sheetView>
  </sheetViews>
  <sheetFormatPr baseColWidth="10" defaultRowHeight="15"/>
  <cols>
    <col min="2" max="2" width="40.140625" customWidth="1"/>
    <col min="3" max="14" width="11.140625" customWidth="1"/>
  </cols>
  <sheetData>
    <row r="1" spans="1:14" ht="15" customHeight="1">
      <c r="A1" s="46" t="s">
        <v>46</v>
      </c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</row>
    <row r="2" spans="1:14" ht="15" customHeight="1">
      <c r="A2" s="46"/>
      <c r="B2" s="46"/>
      <c r="C2" s="46"/>
      <c r="D2" s="46"/>
      <c r="E2" s="46"/>
      <c r="F2" s="46"/>
      <c r="G2" s="46"/>
      <c r="H2" s="46"/>
      <c r="I2" s="46"/>
      <c r="J2" s="46"/>
      <c r="K2" s="46"/>
      <c r="L2" s="46"/>
    </row>
    <row r="3" spans="1:14">
      <c r="B3" s="1"/>
    </row>
    <row r="4" spans="1:14" ht="26.25">
      <c r="B4" s="29" t="s">
        <v>84</v>
      </c>
      <c r="C4" s="7" t="s">
        <v>21</v>
      </c>
      <c r="D4" s="7" t="s">
        <v>21</v>
      </c>
      <c r="E4" s="7" t="s">
        <v>21</v>
      </c>
      <c r="F4" s="7" t="s">
        <v>21</v>
      </c>
      <c r="G4" s="7" t="s">
        <v>21</v>
      </c>
      <c r="H4" s="7" t="s">
        <v>21</v>
      </c>
      <c r="I4" s="7" t="s">
        <v>21</v>
      </c>
      <c r="J4" s="7" t="s">
        <v>21</v>
      </c>
      <c r="K4" s="7" t="s">
        <v>21</v>
      </c>
      <c r="L4" s="7" t="s">
        <v>21</v>
      </c>
      <c r="M4" s="7" t="s">
        <v>21</v>
      </c>
      <c r="N4" s="7" t="s">
        <v>21</v>
      </c>
    </row>
    <row r="6" spans="1:14" ht="30">
      <c r="B6" s="6" t="s">
        <v>71</v>
      </c>
      <c r="C6" s="39" t="s">
        <v>47</v>
      </c>
      <c r="D6" s="39" t="s">
        <v>48</v>
      </c>
      <c r="E6" s="39" t="s">
        <v>49</v>
      </c>
      <c r="F6" s="39" t="s">
        <v>50</v>
      </c>
      <c r="G6" s="39" t="s">
        <v>51</v>
      </c>
      <c r="H6" s="39" t="s">
        <v>52</v>
      </c>
      <c r="I6" s="39" t="s">
        <v>53</v>
      </c>
      <c r="J6" s="39" t="s">
        <v>54</v>
      </c>
      <c r="K6" s="39" t="s">
        <v>55</v>
      </c>
      <c r="L6" s="39" t="s">
        <v>56</v>
      </c>
      <c r="M6" s="39" t="s">
        <v>57</v>
      </c>
      <c r="N6" s="39" t="s">
        <v>58</v>
      </c>
    </row>
    <row r="7" spans="1:14" hidden="1">
      <c r="B7" t="s">
        <v>72</v>
      </c>
      <c r="C7" t="s">
        <v>59</v>
      </c>
      <c r="D7" t="s">
        <v>60</v>
      </c>
      <c r="E7" t="s">
        <v>61</v>
      </c>
      <c r="F7" t="s">
        <v>62</v>
      </c>
      <c r="G7" t="s">
        <v>63</v>
      </c>
      <c r="H7" t="s">
        <v>64</v>
      </c>
      <c r="I7" t="s">
        <v>65</v>
      </c>
      <c r="J7" t="s">
        <v>66</v>
      </c>
      <c r="K7" t="s">
        <v>67</v>
      </c>
      <c r="L7" t="s">
        <v>68</v>
      </c>
      <c r="M7" t="s">
        <v>69</v>
      </c>
      <c r="N7" t="s">
        <v>70</v>
      </c>
    </row>
    <row r="8" spans="1:14">
      <c r="B8" s="38" t="s">
        <v>23</v>
      </c>
      <c r="C8" s="36">
        <v>12</v>
      </c>
      <c r="D8" s="36">
        <v>7</v>
      </c>
      <c r="E8" s="36">
        <v>10</v>
      </c>
      <c r="F8" s="36">
        <v>5</v>
      </c>
      <c r="G8" s="36">
        <v>40</v>
      </c>
      <c r="H8" s="36">
        <v>2</v>
      </c>
      <c r="I8" s="36"/>
      <c r="J8" s="36"/>
      <c r="K8" s="36"/>
      <c r="L8" s="36"/>
      <c r="M8" s="36"/>
      <c r="N8" s="36"/>
    </row>
    <row r="9" spans="1:14">
      <c r="B9" s="38" t="s">
        <v>24</v>
      </c>
      <c r="C9" s="36">
        <v>25</v>
      </c>
      <c r="D9" s="36">
        <v>7</v>
      </c>
      <c r="E9" s="36">
        <v>11</v>
      </c>
      <c r="F9" s="36">
        <v>5</v>
      </c>
      <c r="G9" s="36">
        <v>21</v>
      </c>
      <c r="H9" s="36">
        <v>10</v>
      </c>
      <c r="I9" s="36"/>
      <c r="J9" s="36"/>
      <c r="K9" s="36"/>
      <c r="L9" s="36"/>
      <c r="M9" s="36"/>
      <c r="N9" s="36"/>
    </row>
    <row r="10" spans="1:14">
      <c r="B10" s="38" t="s">
        <v>25</v>
      </c>
      <c r="C10" s="36">
        <v>40</v>
      </c>
      <c r="D10" s="36">
        <v>31</v>
      </c>
      <c r="E10" s="36">
        <v>40</v>
      </c>
      <c r="F10" s="36">
        <v>5</v>
      </c>
      <c r="G10" s="36">
        <v>35</v>
      </c>
      <c r="H10" s="36">
        <v>11</v>
      </c>
      <c r="I10" s="36"/>
      <c r="J10" s="36"/>
      <c r="K10" s="36"/>
      <c r="L10" s="36"/>
      <c r="M10" s="36"/>
      <c r="N10" s="36"/>
    </row>
    <row r="11" spans="1:14">
      <c r="B11" s="38" t="s">
        <v>26</v>
      </c>
      <c r="C11" s="36">
        <v>10</v>
      </c>
      <c r="D11" s="36">
        <v>22</v>
      </c>
      <c r="E11" s="36">
        <v>22</v>
      </c>
      <c r="F11" s="36">
        <v>10</v>
      </c>
      <c r="G11" s="36">
        <v>35</v>
      </c>
      <c r="H11" s="36">
        <v>13</v>
      </c>
      <c r="I11" s="36"/>
      <c r="J11" s="36"/>
      <c r="K11" s="36"/>
      <c r="L11" s="36"/>
      <c r="M11" s="36"/>
      <c r="N11" s="36"/>
    </row>
    <row r="12" spans="1:14">
      <c r="B12" s="38" t="s">
        <v>27</v>
      </c>
      <c r="C12" s="36">
        <v>10</v>
      </c>
      <c r="D12" s="36">
        <v>25</v>
      </c>
      <c r="E12" s="36">
        <v>26</v>
      </c>
      <c r="F12" s="36">
        <v>26</v>
      </c>
      <c r="G12" s="36">
        <v>21</v>
      </c>
      <c r="H12" s="36">
        <v>21</v>
      </c>
      <c r="I12" s="36"/>
      <c r="J12" s="36"/>
      <c r="K12" s="36"/>
      <c r="L12" s="36"/>
      <c r="M12" s="36"/>
      <c r="N12" s="36"/>
    </row>
    <row r="13" spans="1:14">
      <c r="B13" s="38" t="s">
        <v>28</v>
      </c>
      <c r="C13" s="36">
        <v>12</v>
      </c>
      <c r="D13" s="36">
        <v>12</v>
      </c>
      <c r="E13" s="36">
        <v>29</v>
      </c>
      <c r="F13" s="36">
        <v>29</v>
      </c>
      <c r="G13" s="36">
        <v>29</v>
      </c>
      <c r="H13" s="36">
        <v>40</v>
      </c>
      <c r="I13" s="36"/>
      <c r="J13" s="36"/>
      <c r="K13" s="36"/>
      <c r="L13" s="36"/>
      <c r="M13" s="36"/>
      <c r="N13" s="36"/>
    </row>
    <row r="14" spans="1:14">
      <c r="B14" s="38" t="s">
        <v>29</v>
      </c>
      <c r="C14" s="36">
        <v>15</v>
      </c>
      <c r="D14" s="36">
        <v>40</v>
      </c>
      <c r="E14" s="36">
        <v>8</v>
      </c>
      <c r="F14" s="36">
        <v>31</v>
      </c>
      <c r="G14" s="36">
        <v>5</v>
      </c>
      <c r="H14" s="36">
        <v>8</v>
      </c>
      <c r="I14" s="36"/>
      <c r="J14" s="36"/>
      <c r="K14" s="36"/>
      <c r="L14" s="36"/>
      <c r="M14" s="36"/>
      <c r="N14" s="36"/>
    </row>
    <row r="15" spans="1:14">
      <c r="B15" s="38" t="s">
        <v>86</v>
      </c>
      <c r="C15" s="36">
        <v>22</v>
      </c>
      <c r="D15" s="36">
        <v>5</v>
      </c>
      <c r="E15" s="36">
        <v>20</v>
      </c>
      <c r="F15" s="36">
        <v>40</v>
      </c>
      <c r="G15" s="36">
        <v>2</v>
      </c>
      <c r="H15" s="36">
        <v>3</v>
      </c>
      <c r="I15" s="36"/>
      <c r="J15" s="36"/>
      <c r="K15" s="36"/>
      <c r="L15" s="36"/>
      <c r="M15" s="36"/>
      <c r="N15" s="36"/>
    </row>
    <row r="16" spans="1:14">
      <c r="B16" s="38" t="s">
        <v>45</v>
      </c>
      <c r="C16" s="36">
        <v>38</v>
      </c>
      <c r="D16" s="36">
        <v>2</v>
      </c>
      <c r="E16" s="36">
        <v>31</v>
      </c>
      <c r="F16" s="36">
        <v>12</v>
      </c>
      <c r="G16" s="36">
        <v>2</v>
      </c>
      <c r="H16" s="36">
        <v>33</v>
      </c>
      <c r="I16" s="36"/>
      <c r="J16" s="36"/>
      <c r="K16" s="36"/>
      <c r="L16" s="36"/>
      <c r="M16" s="36"/>
      <c r="N16" s="36"/>
    </row>
    <row r="17" spans="2:14">
      <c r="B17" s="38" t="s">
        <v>94</v>
      </c>
      <c r="C17" s="36">
        <v>31</v>
      </c>
      <c r="D17" s="36">
        <v>30</v>
      </c>
      <c r="E17" s="36">
        <v>34</v>
      </c>
      <c r="F17" s="36">
        <v>26</v>
      </c>
      <c r="G17" s="36">
        <v>12</v>
      </c>
      <c r="H17" s="36">
        <v>25</v>
      </c>
      <c r="I17" s="36"/>
      <c r="J17" s="36"/>
      <c r="K17" s="36"/>
      <c r="L17" s="36"/>
      <c r="M17" s="36"/>
      <c r="N17" s="36"/>
    </row>
  </sheetData>
  <sheetProtection sheet="1" objects="1" scenarios="1" selectLockedCells="1"/>
  <mergeCells count="1">
    <mergeCell ref="A1:L2"/>
  </mergeCells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Usr_graTra">
    <tabColor theme="4"/>
  </sheetPr>
  <dimension ref="A1:N10"/>
  <sheetViews>
    <sheetView showGridLines="0" zoomScaleNormal="100" workbookViewId="0">
      <selection activeCell="C5" sqref="C5:G5"/>
    </sheetView>
  </sheetViews>
  <sheetFormatPr baseColWidth="10" defaultRowHeight="15"/>
  <cols>
    <col min="1" max="1" width="10.85546875" customWidth="1"/>
    <col min="2" max="2" width="40.28515625" customWidth="1"/>
    <col min="3" max="6" width="8.7109375" customWidth="1"/>
    <col min="7" max="7" width="13.140625" customWidth="1"/>
    <col min="8" max="14" width="8.7109375" customWidth="1"/>
  </cols>
  <sheetData>
    <row r="1" spans="1:14" ht="15" customHeight="1">
      <c r="A1" s="40" t="s">
        <v>83</v>
      </c>
      <c r="B1" s="40"/>
      <c r="C1" s="40"/>
      <c r="D1" s="40"/>
      <c r="E1" s="40"/>
      <c r="F1" s="40"/>
      <c r="G1" s="40"/>
    </row>
    <row r="2" spans="1:14" ht="15" customHeight="1">
      <c r="A2" s="40"/>
      <c r="B2" s="40"/>
      <c r="C2" s="40"/>
      <c r="D2" s="40"/>
      <c r="E2" s="40"/>
      <c r="F2" s="40"/>
      <c r="G2" s="40"/>
    </row>
    <row r="4" spans="1:14" ht="25.5" customHeight="1">
      <c r="C4" s="30" t="s">
        <v>82</v>
      </c>
    </row>
    <row r="5" spans="1:14" ht="27.75">
      <c r="B5" s="32" t="s">
        <v>85</v>
      </c>
      <c r="C5" s="47" t="s">
        <v>86</v>
      </c>
      <c r="D5" s="47"/>
      <c r="E5" s="47"/>
      <c r="F5" s="47"/>
      <c r="G5" s="47"/>
    </row>
    <row r="6" spans="1:14" ht="24" customHeight="1"/>
    <row r="7" spans="1:14" ht="30">
      <c r="C7" s="31" t="s">
        <v>73</v>
      </c>
      <c r="D7" s="31" t="s">
        <v>73</v>
      </c>
      <c r="E7" s="31" t="s">
        <v>73</v>
      </c>
      <c r="F7" s="31" t="s">
        <v>73</v>
      </c>
      <c r="G7" s="31" t="s">
        <v>73</v>
      </c>
      <c r="H7" s="31" t="s">
        <v>73</v>
      </c>
      <c r="I7" s="31" t="s">
        <v>73</v>
      </c>
      <c r="J7" s="31" t="s">
        <v>73</v>
      </c>
      <c r="K7" s="31" t="s">
        <v>73</v>
      </c>
      <c r="L7" s="31" t="s">
        <v>73</v>
      </c>
      <c r="M7" s="31" t="s">
        <v>73</v>
      </c>
      <c r="N7" s="31" t="s">
        <v>73</v>
      </c>
    </row>
    <row r="8" spans="1:14">
      <c r="C8" s="8">
        <v>1</v>
      </c>
      <c r="D8" s="8">
        <v>2</v>
      </c>
      <c r="E8" s="8">
        <v>3</v>
      </c>
      <c r="F8" s="8">
        <v>4</v>
      </c>
      <c r="G8" s="8">
        <v>5</v>
      </c>
      <c r="H8" s="8">
        <v>6</v>
      </c>
      <c r="I8" s="8">
        <v>7</v>
      </c>
      <c r="J8" s="8">
        <v>8</v>
      </c>
      <c r="K8" s="8">
        <v>9</v>
      </c>
      <c r="L8" s="8">
        <v>10</v>
      </c>
      <c r="M8" s="8">
        <v>11</v>
      </c>
      <c r="N8" s="8">
        <v>12</v>
      </c>
    </row>
    <row r="9" spans="1:14">
      <c r="B9" t="s">
        <v>74</v>
      </c>
      <c r="C9">
        <f>IF(VLOOKUP($C$5,tblUsr_lisImpHor[[nomTra]:[12]],C8+1,FALSE)=0,"",VLOOKUP($C$5,tblUsr_lisImpHor[[nomTra]:[12]],C8+1,FALSE))</f>
        <v>22</v>
      </c>
      <c r="D9">
        <f>IF(VLOOKUP($C$5,tblUsr_lisImpHor[[nomTra]:[12]],D8+1,FALSE)=0,"",VLOOKUP($C$5,tblUsr_lisImpHor[[nomTra]:[12]],D8+1,FALSE))</f>
        <v>5</v>
      </c>
      <c r="E9">
        <f>IF(VLOOKUP($C$5,tblUsr_lisImpHor[[nomTra]:[12]],E8+1,FALSE)=0,"",VLOOKUP($C$5,tblUsr_lisImpHor[[nomTra]:[12]],E8+1,FALSE))</f>
        <v>20</v>
      </c>
      <c r="F9">
        <f>IF(VLOOKUP($C$5,tblUsr_lisImpHor[[nomTra]:[12]],F8+1,FALSE)=0,"",VLOOKUP($C$5,tblUsr_lisImpHor[[nomTra]:[12]],F8+1,FALSE))</f>
        <v>40</v>
      </c>
      <c r="G9">
        <f>IF(VLOOKUP($C$5,tblUsr_lisImpHor[[nomTra]:[12]],G8+1,FALSE)=0,"",VLOOKUP($C$5,tblUsr_lisImpHor[[nomTra]:[12]],G8+1,FALSE))</f>
        <v>2</v>
      </c>
      <c r="H9">
        <f>IF(VLOOKUP($C$5,tblUsr_lisImpHor[[nomTra]:[12]],H8+1,FALSE)=0,"",VLOOKUP($C$5,tblUsr_lisImpHor[[nomTra]:[12]],H8+1,FALSE))</f>
        <v>3</v>
      </c>
      <c r="I9" t="str">
        <f>IF(VLOOKUP($C$5,tblUsr_lisImpHor[[nomTra]:[12]],I8+1,FALSE)=0,"",VLOOKUP($C$5,tblUsr_lisImpHor[[nomTra]:[12]],I8+1,FALSE))</f>
        <v/>
      </c>
      <c r="J9" t="str">
        <f>IF(VLOOKUP($C$5,tblUsr_lisImpHor[[nomTra]:[12]],J8+1,FALSE)=0,"",VLOOKUP($C$5,tblUsr_lisImpHor[[nomTra]:[12]],J8+1,FALSE))</f>
        <v/>
      </c>
      <c r="K9" t="str">
        <f>IF(VLOOKUP($C$5,tblUsr_lisImpHor[[nomTra]:[12]],K8+1,FALSE)=0,"",VLOOKUP($C$5,tblUsr_lisImpHor[[nomTra]:[12]],K8+1,FALSE))</f>
        <v/>
      </c>
      <c r="L9" t="str">
        <f>IF(VLOOKUP($C$5,tblUsr_lisImpHor[[nomTra]:[12]],L8+1,FALSE)=0,"",VLOOKUP($C$5,tblUsr_lisImpHor[[nomTra]:[12]],L8+1,FALSE))</f>
        <v/>
      </c>
      <c r="M9" t="str">
        <f>IF(VLOOKUP($C$5,tblUsr_lisImpHor[[nomTra]:[12]],M8+1,FALSE)=0,"",VLOOKUP($C$5,tblUsr_lisImpHor[[nomTra]:[12]],M8+1,FALSE))</f>
        <v/>
      </c>
      <c r="N9" t="str">
        <f>IF(VLOOKUP($C$5,tblUsr_lisImpHor[[nomTra]:[12]],N8+1,FALSE)=0,"",VLOOKUP($C$5,tblUsr_lisImpHor[[nomTra]:[12]],N8+1,FALSE))</f>
        <v/>
      </c>
    </row>
    <row r="10" spans="1:14">
      <c r="B10" t="s">
        <v>75</v>
      </c>
      <c r="C10">
        <f>AVERAGE($C$9:$N$9)</f>
        <v>15.333333333333334</v>
      </c>
      <c r="D10">
        <f t="shared" ref="D10:N10" si="0">AVERAGE($C$9:$N$9)</f>
        <v>15.333333333333334</v>
      </c>
      <c r="E10">
        <f t="shared" si="0"/>
        <v>15.333333333333334</v>
      </c>
      <c r="F10">
        <f t="shared" si="0"/>
        <v>15.333333333333334</v>
      </c>
      <c r="G10">
        <f t="shared" si="0"/>
        <v>15.333333333333334</v>
      </c>
      <c r="H10">
        <f t="shared" si="0"/>
        <v>15.333333333333334</v>
      </c>
      <c r="I10">
        <f t="shared" si="0"/>
        <v>15.333333333333334</v>
      </c>
      <c r="J10">
        <f t="shared" si="0"/>
        <v>15.333333333333334</v>
      </c>
      <c r="K10">
        <f t="shared" si="0"/>
        <v>15.333333333333334</v>
      </c>
      <c r="L10">
        <f t="shared" si="0"/>
        <v>15.333333333333334</v>
      </c>
      <c r="M10">
        <f t="shared" si="0"/>
        <v>15.333333333333334</v>
      </c>
      <c r="N10">
        <f t="shared" si="0"/>
        <v>15.333333333333334</v>
      </c>
    </row>
  </sheetData>
  <sheetProtection sheet="1" objects="1" scenarios="1" selectLockedCells="1"/>
  <mergeCells count="2">
    <mergeCell ref="A1:G2"/>
    <mergeCell ref="C5:G5"/>
  </mergeCells>
  <dataValidations count="1">
    <dataValidation type="list" allowBlank="1" showInputMessage="1" showErrorMessage="1" sqref="C5:G5">
      <formula1>INDIRECT("tblUsr_lisTrabaj[nomTra]")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ux_lisDes">
    <tabColor theme="0"/>
  </sheetPr>
  <dimension ref="A1:F11"/>
  <sheetViews>
    <sheetView zoomScaleNormal="100" workbookViewId="0">
      <selection activeCell="C15" sqref="C15"/>
    </sheetView>
  </sheetViews>
  <sheetFormatPr baseColWidth="10" defaultRowHeight="15"/>
  <cols>
    <col min="2" max="2" width="45.7109375" customWidth="1"/>
    <col min="3" max="3" width="2.28515625" customWidth="1"/>
    <col min="4" max="4" width="44.85546875" customWidth="1"/>
    <col min="5" max="5" width="2.28515625" customWidth="1"/>
    <col min="6" max="6" width="42" customWidth="1"/>
  </cols>
  <sheetData>
    <row r="1" spans="1:6">
      <c r="A1" s="48" t="s">
        <v>19</v>
      </c>
      <c r="B1" s="48"/>
      <c r="C1" s="48"/>
      <c r="D1" s="48"/>
      <c r="E1" s="48"/>
      <c r="F1" s="48"/>
    </row>
    <row r="2" spans="1:6">
      <c r="A2" s="48"/>
      <c r="B2" s="48"/>
      <c r="C2" s="48"/>
      <c r="D2" s="48"/>
      <c r="E2" s="48"/>
      <c r="F2" s="48"/>
    </row>
    <row r="6" spans="1:6">
      <c r="B6" t="s">
        <v>16</v>
      </c>
      <c r="D6" t="s">
        <v>17</v>
      </c>
      <c r="F6" t="s">
        <v>18</v>
      </c>
    </row>
    <row r="7" spans="1:6">
      <c r="B7" t="s">
        <v>30</v>
      </c>
      <c r="D7" t="s">
        <v>35</v>
      </c>
      <c r="F7" t="s">
        <v>40</v>
      </c>
    </row>
    <row r="8" spans="1:6">
      <c r="B8" t="s">
        <v>31</v>
      </c>
      <c r="D8" t="s">
        <v>36</v>
      </c>
      <c r="F8" t="s">
        <v>41</v>
      </c>
    </row>
    <row r="9" spans="1:6">
      <c r="B9" t="s">
        <v>33</v>
      </c>
      <c r="D9" t="s">
        <v>37</v>
      </c>
      <c r="F9" t="s">
        <v>42</v>
      </c>
    </row>
    <row r="10" spans="1:6">
      <c r="B10" t="s">
        <v>32</v>
      </c>
      <c r="D10" t="s">
        <v>38</v>
      </c>
      <c r="F10" t="s">
        <v>43</v>
      </c>
    </row>
    <row r="11" spans="1:6">
      <c r="B11" t="s">
        <v>34</v>
      </c>
      <c r="D11" t="s">
        <v>39</v>
      </c>
      <c r="F11" t="s">
        <v>44</v>
      </c>
    </row>
  </sheetData>
  <sheetProtection sheet="1" objects="1" scenarios="1"/>
  <mergeCells count="1">
    <mergeCell ref="A1:F2"/>
  </mergeCells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3</vt:i4>
      </vt:variant>
    </vt:vector>
  </HeadingPairs>
  <TitlesOfParts>
    <vt:vector size="9" baseType="lpstr">
      <vt:lpstr>menGen</vt:lpstr>
      <vt:lpstr>lisTra</vt:lpstr>
      <vt:lpstr>frmTra</vt:lpstr>
      <vt:lpstr>lisImp</vt:lpstr>
      <vt:lpstr>graInf</vt:lpstr>
      <vt:lpstr>auxLis</vt:lpstr>
      <vt:lpstr>namUsr_C01FrmTra</vt:lpstr>
      <vt:lpstr>namUsr_C02FrmTra</vt:lpstr>
      <vt:lpstr>namUsr_C03a05Frm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José Manuel Pomares Medrano</dc:creator>
  <cp:lastModifiedBy>Windows User</cp:lastModifiedBy>
  <dcterms:created xsi:type="dcterms:W3CDTF">2017-09-27T08:02:23Z</dcterms:created>
  <dcterms:modified xsi:type="dcterms:W3CDTF">2017-11-07T14:33:11Z</dcterms:modified>
</cp:coreProperties>
</file>