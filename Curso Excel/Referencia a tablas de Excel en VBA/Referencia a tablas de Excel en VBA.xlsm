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ES_1693\archivos base\ES_1693_02_05 Referencia a tablas de Excel en VBA\"/>
    </mc:Choice>
  </mc:AlternateContent>
  <bookViews>
    <workbookView xWindow="0" yWindow="0" windowWidth="14370" windowHeight="6615" tabRatio="753" activeTab="2"/>
  </bookViews>
  <sheets>
    <sheet name="Partes de una tabla" sheetId="5" r:id="rId1"/>
    <sheet name="Partes de una tabla (2)" sheetId="8" r:id="rId2"/>
    <sheet name="Convenciones" sheetId="7" r:id="rId3"/>
  </sheets>
  <definedNames>
    <definedName name="namTar_NombreDeRango1" localSheetId="1">'Partes de una tabla (2)'!$G$14</definedName>
    <definedName name="namTar_NombreDeRango1">'Partes de una tabla'!$G$14</definedName>
    <definedName name="namTar_NombreDeRango2" localSheetId="1">'Partes de una tabla (2)'!#REF!</definedName>
    <definedName name="namTar_NombreDeRango2">'Partes de una tabla'!#REF!</definedName>
    <definedName name="namTar_NombreDeRango3" localSheetId="1">'Partes de una tabla (2)'!$A$5:$E$10</definedName>
    <definedName name="namTar_NombreDeRango3">'Partes de una tabla'!$A$5:$E$10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8" l="1"/>
  <c r="N21" i="8"/>
  <c r="M21" i="8"/>
  <c r="J21" i="8"/>
  <c r="I21" i="8"/>
  <c r="H21" i="8"/>
  <c r="E21" i="8"/>
  <c r="D21" i="8"/>
  <c r="C21" i="8"/>
  <c r="O10" i="8"/>
  <c r="N10" i="8"/>
  <c r="M10" i="8"/>
  <c r="J10" i="8"/>
  <c r="I10" i="8"/>
  <c r="H10" i="8"/>
  <c r="E10" i="8"/>
  <c r="D10" i="8"/>
  <c r="C10" i="8"/>
  <c r="O10" i="5" l="1"/>
  <c r="N10" i="5"/>
  <c r="M10" i="5"/>
  <c r="O21" i="5"/>
  <c r="N21" i="5"/>
  <c r="M21" i="5"/>
  <c r="E21" i="5"/>
  <c r="D21" i="5"/>
  <c r="C21" i="5"/>
  <c r="J10" i="5"/>
  <c r="I10" i="5"/>
  <c r="H10" i="5"/>
  <c r="E10" i="5"/>
  <c r="D10" i="5"/>
  <c r="C10" i="5"/>
  <c r="J21" i="5"/>
  <c r="H21" i="5"/>
  <c r="I21" i="5"/>
</calcChain>
</file>

<file path=xl/sharedStrings.xml><?xml version="1.0" encoding="utf-8"?>
<sst xmlns="http://schemas.openxmlformats.org/spreadsheetml/2006/main" count="145" uniqueCount="13">
  <si>
    <t>Dato 1</t>
  </si>
  <si>
    <t>Dato 2</t>
  </si>
  <si>
    <t>Dato 3</t>
  </si>
  <si>
    <t>Dato 4</t>
  </si>
  <si>
    <t>Título 1</t>
  </si>
  <si>
    <t>Título 2</t>
  </si>
  <si>
    <t>Título 3</t>
  </si>
  <si>
    <t>Título 4</t>
  </si>
  <si>
    <t>Dato 5</t>
  </si>
  <si>
    <t>Dato 6</t>
  </si>
  <si>
    <t>Total</t>
  </si>
  <si>
    <t>Tablas de Excel</t>
  </si>
  <si>
    <t>Dato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</si>
</sst>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 indent="2"/>
    </xf>
    <xf numFmtId="0" fontId="2" fillId="4" borderId="0" xfId="0" applyFont="1" applyFill="1"/>
    <xf numFmtId="0" fontId="2" fillId="4" borderId="0" xfId="0" applyFont="1" applyFill="1" applyAlignment="1">
      <alignment horizontal="right" indent="2"/>
    </xf>
    <xf numFmtId="0" fontId="0" fillId="3" borderId="0" xfId="0" applyFill="1" applyAlignment="1">
      <alignment horizontal="right" indent="3"/>
    </xf>
    <xf numFmtId="2" fontId="2" fillId="4" borderId="0" xfId="0" applyNumberFormat="1" applyFont="1" applyFill="1" applyAlignment="1">
      <alignment horizontal="right" indent="2"/>
    </xf>
    <xf numFmtId="0" fontId="0" fillId="5" borderId="0" xfId="0" applyFill="1"/>
    <xf numFmtId="0" fontId="0" fillId="5" borderId="0" xfId="0" applyFill="1" applyAlignment="1">
      <alignment horizontal="right" indent="3"/>
    </xf>
    <xf numFmtId="0" fontId="0" fillId="5" borderId="0" xfId="0" applyFill="1" applyAlignment="1">
      <alignment horizontal="right" indent="2"/>
    </xf>
    <xf numFmtId="0" fontId="2" fillId="5" borderId="0" xfId="0" applyFont="1" applyFill="1"/>
    <xf numFmtId="0" fontId="2" fillId="5" borderId="0" xfId="0" applyFont="1" applyFill="1" applyAlignment="1">
      <alignment horizontal="right" indent="2"/>
    </xf>
    <xf numFmtId="2" fontId="2" fillId="5" borderId="0" xfId="0" applyNumberFormat="1" applyFont="1" applyFill="1" applyAlignment="1">
      <alignment horizontal="right" indent="2"/>
    </xf>
    <xf numFmtId="0" fontId="0" fillId="6" borderId="0" xfId="0" applyFill="1" applyAlignment="1">
      <alignment horizontal="right" indent="3"/>
    </xf>
    <xf numFmtId="0" fontId="0" fillId="6" borderId="0" xfId="0" applyFill="1" applyAlignment="1">
      <alignment horizontal="right" indent="2"/>
    </xf>
  </cellXfs>
  <cellStyles count="1">
    <cellStyle name="Normal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5B9BD5"/>
        </patternFill>
      </fill>
    </dxf>
    <dxf>
      <fill>
        <patternFill patternType="solid">
          <fgColor indexed="64"/>
          <bgColor theme="5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5B9BD5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indexed="64"/>
          <bgColor theme="5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5B9BD5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ill>
        <patternFill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ill>
        <patternFill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ill>
        <patternFill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</dxf>
    <dxf>
      <fill>
        <patternFill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indexed="64"/>
          <bgColor theme="5"/>
        </patternFill>
      </fill>
    </dxf>
    <dxf>
      <fill>
        <patternFill>
          <fgColor indexed="64"/>
          <bgColor theme="5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5"/>
        </patternFill>
      </fill>
      <alignment horizontal="right" vertical="bottom" textRotation="0" wrapText="0" indent="2" justifyLastLine="0" shrinkToFit="0" readingOrder="0"/>
    </dxf>
    <dxf>
      <fill>
        <patternFill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5B9BD5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2" name="Rectángulo 1"/>
        <xdr:cNvSpPr/>
      </xdr:nvSpPr>
      <xdr:spPr>
        <a:xfrm>
          <a:off x="4267200" y="190500"/>
          <a:ext cx="3048000" cy="1714500"/>
        </a:xfrm>
        <a:prstGeom prst="rect">
          <a:avLst/>
        </a:prstGeom>
        <a:solidFill>
          <a:schemeClr val="accent4">
            <a:alpha val="8500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bg1"/>
              </a:solidFill>
              <a:latin typeface="Arial Black" panose="020B0A04020102020204" pitchFamily="34" charset="0"/>
            </a:rPr>
            <a:t>Range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" textlink="">
      <xdr:nvSpPr>
        <xdr:cNvPr id="3" name="Rectángulo 2"/>
        <xdr:cNvSpPr/>
      </xdr:nvSpPr>
      <xdr:spPr>
        <a:xfrm>
          <a:off x="8077200" y="190500"/>
          <a:ext cx="3048000" cy="190500"/>
        </a:xfrm>
        <a:prstGeom prst="rect">
          <a:avLst/>
        </a:prstGeom>
        <a:solidFill>
          <a:schemeClr val="accent4">
            <a:alpha val="8500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bg1"/>
              </a:solidFill>
              <a:latin typeface="Arial Black" panose="020B0A04020102020204" pitchFamily="34" charset="0"/>
            </a:rPr>
            <a:t>Header Row Range</a:t>
          </a:r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9</xdr:row>
      <xdr:rowOff>0</xdr:rowOff>
    </xdr:to>
    <xdr:sp macro="" textlink="">
      <xdr:nvSpPr>
        <xdr:cNvPr id="4" name="Rectángulo 3"/>
        <xdr:cNvSpPr/>
      </xdr:nvSpPr>
      <xdr:spPr>
        <a:xfrm>
          <a:off x="8382000" y="381000"/>
          <a:ext cx="3048000" cy="1333500"/>
        </a:xfrm>
        <a:prstGeom prst="rect">
          <a:avLst/>
        </a:prstGeom>
        <a:solidFill>
          <a:schemeClr val="accent4">
            <a:alpha val="8500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bg1"/>
              </a:solidFill>
              <a:latin typeface="Arial Black" panose="020B0A04020102020204" pitchFamily="34" charset="0"/>
            </a:rPr>
            <a:t>Data</a:t>
          </a:r>
          <a:r>
            <a:rPr lang="es-ES" sz="2800" baseline="0">
              <a:solidFill>
                <a:schemeClr val="bg1"/>
              </a:solidFill>
              <a:latin typeface="Arial Black" panose="020B0A04020102020204" pitchFamily="34" charset="0"/>
            </a:rPr>
            <a:t> body range</a:t>
          </a:r>
          <a:endParaRPr lang="es-ES" sz="28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5" name="Rectángulo 4"/>
        <xdr:cNvSpPr/>
      </xdr:nvSpPr>
      <xdr:spPr>
        <a:xfrm>
          <a:off x="762000" y="3810000"/>
          <a:ext cx="3048000" cy="190500"/>
        </a:xfrm>
        <a:prstGeom prst="rect">
          <a:avLst/>
        </a:prstGeom>
        <a:solidFill>
          <a:schemeClr val="accent4">
            <a:alpha val="8500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bg1"/>
              </a:solidFill>
              <a:latin typeface="Arial Black" panose="020B0A04020102020204" pitchFamily="34" charset="0"/>
            </a:rPr>
            <a:t>Total rows range</a:t>
          </a:r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21</xdr:row>
      <xdr:rowOff>0</xdr:rowOff>
    </xdr:to>
    <xdr:sp macro="" textlink="">
      <xdr:nvSpPr>
        <xdr:cNvPr id="6" name="Rectángulo 5"/>
        <xdr:cNvSpPr/>
      </xdr:nvSpPr>
      <xdr:spPr>
        <a:xfrm>
          <a:off x="6096000" y="2286000"/>
          <a:ext cx="762000" cy="1714500"/>
        </a:xfrm>
        <a:prstGeom prst="rect">
          <a:avLst/>
        </a:prstGeom>
        <a:solidFill>
          <a:schemeClr val="accent4">
            <a:alpha val="8500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s-ES" sz="1600">
              <a:solidFill>
                <a:schemeClr val="bg1"/>
              </a:solidFill>
              <a:latin typeface="Arial Black" panose="020B0A04020102020204" pitchFamily="34" charset="0"/>
            </a:rPr>
            <a:t>List</a:t>
          </a:r>
        </a:p>
        <a:p>
          <a:pPr algn="ctr"/>
          <a:r>
            <a:rPr lang="es-ES" sz="1600">
              <a:solidFill>
                <a:schemeClr val="bg1"/>
              </a:solidFill>
              <a:latin typeface="Arial Black" panose="020B0A04020102020204" pitchFamily="34" charset="0"/>
            </a:rPr>
            <a:t>columns</a:t>
          </a:r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7" name="Rectángulo 6"/>
        <xdr:cNvSpPr/>
      </xdr:nvSpPr>
      <xdr:spPr>
        <a:xfrm>
          <a:off x="8382000" y="2857500"/>
          <a:ext cx="3048000" cy="190500"/>
        </a:xfrm>
        <a:prstGeom prst="rect">
          <a:avLst/>
        </a:prstGeom>
        <a:solidFill>
          <a:schemeClr val="accent4">
            <a:alpha val="85000"/>
          </a:schemeClr>
        </a:solidFill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solidFill>
                <a:schemeClr val="bg1"/>
              </a:solidFill>
              <a:latin typeface="Arial Black" panose="020B0A04020102020204" pitchFamily="34" charset="0"/>
            </a:rPr>
            <a:t>List</a:t>
          </a:r>
          <a:r>
            <a:rPr lang="es-ES" sz="1200" baseline="0">
              <a:solidFill>
                <a:schemeClr val="bg1"/>
              </a:solidFill>
              <a:latin typeface="Arial Black" panose="020B0A04020102020204" pitchFamily="34" charset="0"/>
            </a:rPr>
            <a:t> rows</a:t>
          </a:r>
          <a:endParaRPr lang="es-ES" sz="1200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733426</xdr:colOff>
      <xdr:row>2</xdr:row>
      <xdr:rowOff>142875</xdr:rowOff>
    </xdr:from>
    <xdr:to>
      <xdr:col>7</xdr:col>
      <xdr:colOff>276225</xdr:colOff>
      <xdr:row>9</xdr:row>
      <xdr:rowOff>108800</xdr:rowOff>
    </xdr:to>
    <xdr:grpSp>
      <xdr:nvGrpSpPr>
        <xdr:cNvPr id="2" name="Grupo 1"/>
        <xdr:cNvGrpSpPr/>
      </xdr:nvGrpSpPr>
      <xdr:grpSpPr>
        <a:xfrm>
          <a:off x="1495426" y="695325"/>
          <a:ext cx="4114799" cy="1299425"/>
          <a:chOff x="333376" y="676275"/>
          <a:chExt cx="4114799" cy="1299425"/>
        </a:xfrm>
      </xdr:grpSpPr>
      <xdr:sp macro="" textlink="">
        <xdr:nvSpPr>
          <xdr:cNvPr id="3" name="CuadroTexto 2"/>
          <xdr:cNvSpPr txBox="1"/>
        </xdr:nvSpPr>
        <xdr:spPr>
          <a:xfrm>
            <a:off x="1419225" y="676275"/>
            <a:ext cx="1947584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800"/>
              <a:t>tbl</a:t>
            </a:r>
            <a:r>
              <a:rPr lang="es-ES" sz="1800">
                <a:solidFill>
                  <a:srgbClr val="0070C0"/>
                </a:solidFill>
              </a:rPr>
              <a:t>Tar</a:t>
            </a:r>
            <a:r>
              <a:rPr lang="es-ES" sz="1800"/>
              <a:t>_</a:t>
            </a:r>
            <a:r>
              <a:rPr lang="es-ES" sz="1800">
                <a:solidFill>
                  <a:srgbClr val="00B050"/>
                </a:solidFill>
              </a:rPr>
              <a:t>Descripcion</a:t>
            </a:r>
          </a:p>
        </xdr:txBody>
      </xdr:sp>
      <xdr:cxnSp macro="">
        <xdr:nvCxnSpPr>
          <xdr:cNvPr id="4" name="Conector recto de flecha 3"/>
          <xdr:cNvCxnSpPr>
            <a:stCxn id="5" idx="0"/>
          </xdr:cNvCxnSpPr>
        </xdr:nvCxnSpPr>
        <xdr:spPr>
          <a:xfrm flipV="1">
            <a:off x="1004888" y="1066803"/>
            <a:ext cx="681037" cy="18097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uadroTexto 4"/>
          <xdr:cNvSpPr txBox="1"/>
        </xdr:nvSpPr>
        <xdr:spPr>
          <a:xfrm>
            <a:off x="333376" y="1247773"/>
            <a:ext cx="1343024" cy="6191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000"/>
              <a:t>Indicador</a:t>
            </a:r>
            <a:r>
              <a:rPr lang="es-ES" sz="1000" baseline="0"/>
              <a:t> de que se trata de una tabla</a:t>
            </a:r>
            <a:endParaRPr lang="es-ES" sz="1000"/>
          </a:p>
        </xdr:txBody>
      </xdr:sp>
      <xdr:cxnSp macro="">
        <xdr:nvCxnSpPr>
          <xdr:cNvPr id="6" name="Conector recto de flecha 5"/>
          <xdr:cNvCxnSpPr>
            <a:stCxn id="7" idx="0"/>
          </xdr:cNvCxnSpPr>
        </xdr:nvCxnSpPr>
        <xdr:spPr>
          <a:xfrm flipH="1" flipV="1">
            <a:off x="1952626" y="1057276"/>
            <a:ext cx="538162" cy="200022"/>
          </a:xfrm>
          <a:prstGeom prst="straightConnector1">
            <a:avLst/>
          </a:prstGeom>
          <a:ln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CuadroTexto 6"/>
          <xdr:cNvSpPr txBox="1"/>
        </xdr:nvSpPr>
        <xdr:spPr>
          <a:xfrm>
            <a:off x="1819276" y="1257298"/>
            <a:ext cx="1343024" cy="7184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ES" sz="1000">
                <a:solidFill>
                  <a:srgbClr val="0070C0"/>
                </a:solidFill>
              </a:rPr>
              <a:t>Indicador</a:t>
            </a:r>
            <a:r>
              <a:rPr lang="es-ES" sz="1000" baseline="0">
                <a:solidFill>
                  <a:srgbClr val="0070C0"/>
                </a:solidFill>
              </a:rPr>
              <a:t> de hoja que visualizará el usuario (</a:t>
            </a:r>
            <a:r>
              <a:rPr lang="es-ES" sz="1000" b="1" baseline="0">
                <a:solidFill>
                  <a:srgbClr val="0070C0"/>
                </a:solidFill>
              </a:rPr>
              <a:t>Usr</a:t>
            </a:r>
            <a:r>
              <a:rPr lang="es-ES" sz="1000" baseline="0">
                <a:solidFill>
                  <a:srgbClr val="0070C0"/>
                </a:solidFill>
              </a:rPr>
              <a:t>) o de hoja auxiliar (</a:t>
            </a:r>
            <a:r>
              <a:rPr lang="es-ES" sz="1000" b="1" baseline="0">
                <a:solidFill>
                  <a:srgbClr val="0070C0"/>
                </a:solidFill>
              </a:rPr>
              <a:t>Aux</a:t>
            </a:r>
            <a:r>
              <a:rPr lang="es-ES" sz="1000" baseline="0">
                <a:solidFill>
                  <a:srgbClr val="0070C0"/>
                </a:solidFill>
              </a:rPr>
              <a:t>)</a:t>
            </a:r>
            <a:endParaRPr lang="es-ES" sz="1000">
              <a:solidFill>
                <a:srgbClr val="0070C0"/>
              </a:solidFill>
            </a:endParaRPr>
          </a:p>
        </xdr:txBody>
      </xdr:sp>
      <xdr:cxnSp macro="">
        <xdr:nvCxnSpPr>
          <xdr:cNvPr id="8" name="Conector recto de flecha 7"/>
          <xdr:cNvCxnSpPr>
            <a:stCxn id="9" idx="0"/>
          </xdr:cNvCxnSpPr>
        </xdr:nvCxnSpPr>
        <xdr:spPr>
          <a:xfrm flipH="1" flipV="1">
            <a:off x="2809878" y="1057278"/>
            <a:ext cx="1066798" cy="200020"/>
          </a:xfrm>
          <a:prstGeom prst="straightConnector1">
            <a:avLst/>
          </a:prstGeom>
          <a:ln>
            <a:solidFill>
              <a:srgbClr val="00B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CuadroTexto 8"/>
          <xdr:cNvSpPr txBox="1"/>
        </xdr:nvSpPr>
        <xdr:spPr>
          <a:xfrm>
            <a:off x="3305176" y="1257298"/>
            <a:ext cx="1142999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ES" sz="1000">
                <a:solidFill>
                  <a:srgbClr val="00B050"/>
                </a:solidFill>
              </a:rPr>
              <a:t>Descripción libre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la5" displayName="Tabla5" ref="G13:J21" totalsRowCount="1" headerRowDxfId="92" dataDxfId="91" totalsRowDxfId="90">
  <autoFilter ref="G13:J20"/>
  <tableColumns count="4">
    <tableColumn id="1" name="Título 1" totalsRowLabel="Total" totalsRowDxfId="89"/>
    <tableColumn id="2" name="Título 2" totalsRowFunction="count" totalsRowDxfId="88"/>
    <tableColumn id="3" name="Título 3" totalsRowFunction="average" totalsRowDxfId="87"/>
    <tableColumn id="4" name="Título 4" totalsRowFunction="sum" totalsRow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B2:E10" totalsRowCount="1" headerRowDxfId="85" dataDxfId="84" totalsRowDxfId="83">
  <autoFilter ref="B2:E9"/>
  <tableColumns count="4">
    <tableColumn id="1" name="Título 1" totalsRowLabel="Total" totalsRowDxfId="82"/>
    <tableColumn id="2" name="Título 2" totalsRowFunction="count" totalsRowDxfId="81"/>
    <tableColumn id="3" name="Título 3" totalsRowFunction="average" totalsRowDxfId="80"/>
    <tableColumn id="4" name="Título 4" totalsRowFunction="sum" totalsRowDxfId="7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2" displayName="Tabla2" ref="G2:J10" totalsRowCount="1" headerRowDxfId="78" dataDxfId="77" totalsRowDxfId="76">
  <autoFilter ref="G2:J9"/>
  <tableColumns count="4">
    <tableColumn id="1" name="Título 1" totalsRowLabel="Total" totalsRowDxfId="75"/>
    <tableColumn id="2" name="Título 2" totalsRowFunction="count" totalsRowDxfId="74"/>
    <tableColumn id="3" name="Título 3" totalsRowFunction="average" totalsRowDxfId="73"/>
    <tableColumn id="4" name="Título 4" totalsRowFunction="sum" totalsRow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13:E21" totalsRowCount="1" headerRowDxfId="71" dataDxfId="70" totalsRowDxfId="69">
  <autoFilter ref="B13:E20"/>
  <tableColumns count="4">
    <tableColumn id="1" name="Título 1" totalsRowLabel="Total" totalsRowDxfId="68"/>
    <tableColumn id="2" name="Título 2" totalsRowFunction="count" totalsRowDxfId="67"/>
    <tableColumn id="3" name="Título 3" totalsRowFunction="average" totalsRowDxfId="66"/>
    <tableColumn id="4" name="Título 4" totalsRowFunction="sum" totalsRowDxf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6" displayName="Tabla6" ref="L13:O21" totalsRowCount="1" headerRowDxfId="64" dataDxfId="63" totalsRowDxfId="62">
  <autoFilter ref="L13:O20"/>
  <tableColumns count="4">
    <tableColumn id="1" name="Título 1" totalsRowLabel="Total" totalsRowDxfId="61"/>
    <tableColumn id="2" name="Título 2" totalsRowFunction="count" totalsRowDxfId="60"/>
    <tableColumn id="3" name="Título 3" totalsRowFunction="average" totalsRowDxfId="59"/>
    <tableColumn id="4" name="Título 4" totalsRowFunction="sum" totalsRow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a3" displayName="Tabla3" ref="L2:O10" totalsRowCount="1" headerRowDxfId="57" dataDxfId="56" totalsRowDxfId="55">
  <autoFilter ref="L2:O9"/>
  <tableColumns count="4">
    <tableColumn id="1" name="Título 1" totalsRowLabel="Total" totalsRowDxfId="54"/>
    <tableColumn id="2" name="Título 2" totalsRowFunction="count" totalsRowDxfId="53"/>
    <tableColumn id="3" name="Título 3" totalsRowFunction="average" totalsRowDxfId="52"/>
    <tableColumn id="4" name="Título 4" totalsRowFunction="sum" totalsRow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Usr_MiTabla5" displayName="tblUsr_MiTabla5" ref="G13:J21" totalsRowCount="1" headerRowDxfId="50" dataDxfId="49" totalsRowDxfId="48">
  <autoFilter ref="G13:J20"/>
  <tableColumns count="4">
    <tableColumn id="1" name="Título 1" totalsRowLabel="Total" totalsRowDxfId="47"/>
    <tableColumn id="2" name="Título 2" totalsRowFunction="count" totalsRowDxfId="46"/>
    <tableColumn id="3" name="Título 3" totalsRowFunction="average" dataDxfId="45" totalsRowDxfId="44"/>
    <tableColumn id="4" name="Título 4" totalsRowFunction="sum" totalsRow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Usr_MiTabla1" displayName="tblUsr_MiTabla1" ref="B2:E10" totalsRowCount="1" headerRowDxfId="42" dataDxfId="41" totalsRowDxfId="40">
  <autoFilter ref="B2:E9"/>
  <tableColumns count="4">
    <tableColumn id="1" name="Título 1" totalsRowLabel="Total" dataDxfId="39" totalsRowDxfId="38"/>
    <tableColumn id="2" name="Título 2" totalsRowFunction="count" dataDxfId="37" totalsRowDxfId="36"/>
    <tableColumn id="3" name="Título 3" totalsRowFunction="average" dataDxfId="35" totalsRowDxfId="34"/>
    <tableColumn id="4" name="Título 4" totalsRowFunction="sum" dataDxfId="33" totalsRow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Usr_MiTabla2" displayName="tblUsr_MiTabla2" ref="G2:J10" totalsRowCount="1" headerRowDxfId="31" dataDxfId="30" totalsRowDxfId="29">
  <autoFilter ref="G2:J9"/>
  <tableColumns count="4">
    <tableColumn id="1" name="Título 1" totalsRowLabel="Total" totalsRowDxfId="28"/>
    <tableColumn id="2" name="Título 2" totalsRowFunction="count" totalsRowDxfId="27"/>
    <tableColumn id="3" name="Título 3" totalsRowFunction="average" totalsRowDxfId="26"/>
    <tableColumn id="4" name="Título 4" totalsRowFunction="sum" totalsRowDxfId="2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Usr_MiTabla4" displayName="tblUsr_MiTabla4" ref="B13:E21" totalsRowCount="1" headerRowDxfId="24" dataDxfId="23" totalsRowDxfId="22">
  <autoFilter ref="B13:E20"/>
  <tableColumns count="4">
    <tableColumn id="1" name="Título 1" totalsRowLabel="Total" totalsRowDxfId="21"/>
    <tableColumn id="2" name="Título 2" totalsRowFunction="count" totalsRowDxfId="20"/>
    <tableColumn id="3" name="Título 3" totalsRowFunction="average" totalsRowDxfId="19"/>
    <tableColumn id="4" name="Título 4" totalsRowFunction="sum" totalsRow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Usr_MiTabla6" displayName="tblUsr_MiTabla6" ref="L13:O21" totalsRowCount="1" headerRowDxfId="17" dataDxfId="16" totalsRowDxfId="15">
  <autoFilter ref="L13:O20"/>
  <tableColumns count="4">
    <tableColumn id="1" name="Título 1" totalsRowLabel="Total" totalsRowDxfId="14"/>
    <tableColumn id="2" name="Título 2" totalsRowFunction="count" totalsRowDxfId="13"/>
    <tableColumn id="3" name="Título 3" totalsRowFunction="average" totalsRowDxfId="12"/>
    <tableColumn id="4" name="Título 4" totalsRowFunction="sum" totalsRowDxfId="1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Usr_MiTabla3" displayName="tblUsr_MiTabla3" ref="L2:O10" totalsRowCount="1" headerRowDxfId="10" dataDxfId="9" totalsRowDxfId="8">
  <autoFilter ref="L2:O9"/>
  <tableColumns count="4">
    <tableColumn id="1" name="Título 1" totalsRowLabel="Total" dataDxfId="7" totalsRowDxfId="6"/>
    <tableColumn id="2" name="Título 2" totalsRowFunction="count" dataDxfId="5" totalsRowDxfId="4"/>
    <tableColumn id="3" name="Título 3" totalsRowFunction="average" dataDxfId="3" totalsRowDxfId="2"/>
    <tableColumn id="4" name="Título 4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partesTabla"/>
  <dimension ref="B2:O21"/>
  <sheetViews>
    <sheetView workbookViewId="0">
      <selection activeCell="L14" sqref="L14:O20"/>
    </sheetView>
  </sheetViews>
  <sheetFormatPr baseColWidth="10" defaultRowHeight="15" x14ac:dyDescent="0.25"/>
  <sheetData>
    <row r="2" spans="2:15" x14ac:dyDescent="0.25">
      <c r="B2" s="3" t="s">
        <v>4</v>
      </c>
      <c r="C2" s="7" t="s">
        <v>5</v>
      </c>
      <c r="D2" s="7" t="s">
        <v>6</v>
      </c>
      <c r="E2" s="7" t="s">
        <v>7</v>
      </c>
      <c r="G2" s="3" t="s">
        <v>4</v>
      </c>
      <c r="H2" s="7" t="s">
        <v>5</v>
      </c>
      <c r="I2" s="7" t="s">
        <v>6</v>
      </c>
      <c r="J2" s="7" t="s">
        <v>7</v>
      </c>
      <c r="L2" s="3" t="s">
        <v>4</v>
      </c>
      <c r="M2" s="7" t="s">
        <v>5</v>
      </c>
      <c r="N2" s="7" t="s">
        <v>6</v>
      </c>
      <c r="O2" s="7" t="s">
        <v>7</v>
      </c>
    </row>
    <row r="3" spans="2:15" x14ac:dyDescent="0.25">
      <c r="B3" t="s">
        <v>0</v>
      </c>
      <c r="C3" s="4">
        <v>82</v>
      </c>
      <c r="D3" s="4">
        <v>95</v>
      </c>
      <c r="E3" s="4">
        <v>38</v>
      </c>
      <c r="G3" t="s">
        <v>0</v>
      </c>
      <c r="H3" s="4">
        <v>82</v>
      </c>
      <c r="I3" s="4">
        <v>95</v>
      </c>
      <c r="J3" s="4">
        <v>38</v>
      </c>
      <c r="L3" t="s">
        <v>0</v>
      </c>
      <c r="M3" s="4">
        <v>82</v>
      </c>
      <c r="N3" s="4">
        <v>95</v>
      </c>
      <c r="O3" s="4">
        <v>38</v>
      </c>
    </row>
    <row r="4" spans="2:15" x14ac:dyDescent="0.25">
      <c r="B4" t="s">
        <v>1</v>
      </c>
      <c r="C4" s="4">
        <v>48</v>
      </c>
      <c r="D4" s="4">
        <v>41</v>
      </c>
      <c r="E4" s="4">
        <v>98</v>
      </c>
      <c r="G4" t="s">
        <v>1</v>
      </c>
      <c r="H4" s="4">
        <v>48</v>
      </c>
      <c r="I4" s="4">
        <v>41</v>
      </c>
      <c r="J4" s="4">
        <v>98</v>
      </c>
      <c r="L4" t="s">
        <v>1</v>
      </c>
      <c r="M4" s="4">
        <v>48</v>
      </c>
      <c r="N4" s="4">
        <v>41</v>
      </c>
      <c r="O4" s="4">
        <v>98</v>
      </c>
    </row>
    <row r="5" spans="2:15" x14ac:dyDescent="0.25">
      <c r="B5" t="s">
        <v>2</v>
      </c>
      <c r="C5" s="4">
        <v>44</v>
      </c>
      <c r="D5" s="4">
        <v>12</v>
      </c>
      <c r="E5" s="4">
        <v>3</v>
      </c>
      <c r="G5" t="s">
        <v>2</v>
      </c>
      <c r="H5" s="4">
        <v>44</v>
      </c>
      <c r="I5" s="4">
        <v>12</v>
      </c>
      <c r="J5" s="4">
        <v>3</v>
      </c>
      <c r="L5" t="s">
        <v>2</v>
      </c>
      <c r="M5" s="4">
        <v>44</v>
      </c>
      <c r="N5" s="4">
        <v>12</v>
      </c>
      <c r="O5" s="4">
        <v>3</v>
      </c>
    </row>
    <row r="6" spans="2:15" x14ac:dyDescent="0.25">
      <c r="B6" t="s">
        <v>3</v>
      </c>
      <c r="C6" s="4">
        <v>56</v>
      </c>
      <c r="D6" s="4">
        <v>18</v>
      </c>
      <c r="E6" s="4">
        <v>64</v>
      </c>
      <c r="G6" t="s">
        <v>3</v>
      </c>
      <c r="H6" s="4">
        <v>56</v>
      </c>
      <c r="I6" s="4">
        <v>18</v>
      </c>
      <c r="J6" s="4">
        <v>64</v>
      </c>
      <c r="L6" t="s">
        <v>3</v>
      </c>
      <c r="M6" s="4">
        <v>56</v>
      </c>
      <c r="N6" s="4">
        <v>18</v>
      </c>
      <c r="O6" s="4">
        <v>64</v>
      </c>
    </row>
    <row r="7" spans="2:15" x14ac:dyDescent="0.25">
      <c r="B7" t="s">
        <v>8</v>
      </c>
      <c r="C7" s="4">
        <v>87</v>
      </c>
      <c r="D7" s="4">
        <v>37</v>
      </c>
      <c r="E7" s="4">
        <v>64</v>
      </c>
      <c r="G7" t="s">
        <v>8</v>
      </c>
      <c r="H7" s="4">
        <v>87</v>
      </c>
      <c r="I7" s="4">
        <v>37</v>
      </c>
      <c r="J7" s="4">
        <v>64</v>
      </c>
      <c r="L7" t="s">
        <v>8</v>
      </c>
      <c r="M7" s="4">
        <v>87</v>
      </c>
      <c r="N7" s="4">
        <v>37</v>
      </c>
      <c r="O7" s="4">
        <v>64</v>
      </c>
    </row>
    <row r="8" spans="2:15" x14ac:dyDescent="0.25">
      <c r="B8" t="s">
        <v>9</v>
      </c>
      <c r="C8" s="4">
        <v>67</v>
      </c>
      <c r="D8" s="4">
        <v>75</v>
      </c>
      <c r="E8" s="4">
        <v>80</v>
      </c>
      <c r="G8" t="s">
        <v>9</v>
      </c>
      <c r="H8" s="4">
        <v>67</v>
      </c>
      <c r="I8" s="4">
        <v>75</v>
      </c>
      <c r="J8" s="4">
        <v>80</v>
      </c>
      <c r="L8" t="s">
        <v>9</v>
      </c>
      <c r="M8" s="4">
        <v>67</v>
      </c>
      <c r="N8" s="4">
        <v>75</v>
      </c>
      <c r="O8" s="4">
        <v>80</v>
      </c>
    </row>
    <row r="9" spans="2:15" x14ac:dyDescent="0.25">
      <c r="B9" t="s">
        <v>12</v>
      </c>
      <c r="C9" s="4">
        <v>47</v>
      </c>
      <c r="D9" s="4">
        <v>113</v>
      </c>
      <c r="E9" s="4">
        <v>96</v>
      </c>
      <c r="G9" t="s">
        <v>12</v>
      </c>
      <c r="H9" s="4">
        <v>47</v>
      </c>
      <c r="I9" s="4">
        <v>113</v>
      </c>
      <c r="J9" s="4">
        <v>96</v>
      </c>
      <c r="L9" t="s">
        <v>12</v>
      </c>
      <c r="M9" s="4">
        <v>47</v>
      </c>
      <c r="N9" s="4">
        <v>113</v>
      </c>
      <c r="O9" s="4">
        <v>96</v>
      </c>
    </row>
    <row r="10" spans="2:15" x14ac:dyDescent="0.25">
      <c r="B10" s="5" t="s">
        <v>10</v>
      </c>
      <c r="C10" s="6">
        <f>SUBTOTAL(103,Tabla1[Título 2])</f>
        <v>7</v>
      </c>
      <c r="D10" s="8">
        <f>SUBTOTAL(101,Tabla1[Título 3])</f>
        <v>55.857142857142854</v>
      </c>
      <c r="E10" s="6">
        <f>SUBTOTAL(109,Tabla1[Título 4])</f>
        <v>443</v>
      </c>
      <c r="G10" s="5" t="s">
        <v>10</v>
      </c>
      <c r="H10" s="6">
        <f>SUBTOTAL(103,Tabla2[Título 2])</f>
        <v>7</v>
      </c>
      <c r="I10" s="8">
        <f>SUBTOTAL(101,Tabla2[Título 3])</f>
        <v>55.857142857142854</v>
      </c>
      <c r="J10" s="6">
        <f>SUBTOTAL(109,Tabla2[Título 4])</f>
        <v>443</v>
      </c>
      <c r="L10" s="5" t="s">
        <v>10</v>
      </c>
      <c r="M10" s="6">
        <f>SUBTOTAL(103,Tabla3[Título 2])</f>
        <v>7</v>
      </c>
      <c r="N10" s="8">
        <f>SUBTOTAL(101,Tabla3[Título 3])</f>
        <v>55.857142857142854</v>
      </c>
      <c r="O10" s="6">
        <f>SUBTOTAL(109,Tabla3[Título 4])</f>
        <v>443</v>
      </c>
    </row>
    <row r="13" spans="2:15" x14ac:dyDescent="0.25">
      <c r="B13" s="3" t="s">
        <v>4</v>
      </c>
      <c r="C13" s="7" t="s">
        <v>5</v>
      </c>
      <c r="D13" s="7" t="s">
        <v>6</v>
      </c>
      <c r="E13" s="7" t="s">
        <v>7</v>
      </c>
      <c r="G13" s="3" t="s">
        <v>4</v>
      </c>
      <c r="H13" s="7" t="s">
        <v>5</v>
      </c>
      <c r="I13" s="7" t="s">
        <v>6</v>
      </c>
      <c r="J13" s="7" t="s">
        <v>7</v>
      </c>
      <c r="L13" s="3" t="s">
        <v>4</v>
      </c>
      <c r="M13" s="7" t="s">
        <v>5</v>
      </c>
      <c r="N13" s="7" t="s">
        <v>6</v>
      </c>
      <c r="O13" s="7" t="s">
        <v>7</v>
      </c>
    </row>
    <row r="14" spans="2:15" x14ac:dyDescent="0.25">
      <c r="B14" t="s">
        <v>0</v>
      </c>
      <c r="C14" s="4">
        <v>82</v>
      </c>
      <c r="D14" s="4">
        <v>95</v>
      </c>
      <c r="E14" s="4">
        <v>38</v>
      </c>
      <c r="G14" t="s">
        <v>0</v>
      </c>
      <c r="H14" s="4">
        <v>82</v>
      </c>
      <c r="I14" s="4">
        <v>95</v>
      </c>
      <c r="J14" s="4">
        <v>38</v>
      </c>
      <c r="L14" t="s">
        <v>0</v>
      </c>
      <c r="M14" s="4">
        <v>82</v>
      </c>
      <c r="N14" s="4">
        <v>95</v>
      </c>
      <c r="O14" s="4">
        <v>38</v>
      </c>
    </row>
    <row r="15" spans="2:15" x14ac:dyDescent="0.25">
      <c r="B15" t="s">
        <v>1</v>
      </c>
      <c r="C15" s="4">
        <v>48</v>
      </c>
      <c r="D15" s="4">
        <v>41</v>
      </c>
      <c r="E15" s="4">
        <v>98</v>
      </c>
      <c r="G15" t="s">
        <v>1</v>
      </c>
      <c r="H15" s="4">
        <v>48</v>
      </c>
      <c r="I15" s="4">
        <v>41</v>
      </c>
      <c r="J15" s="4">
        <v>98</v>
      </c>
      <c r="L15" t="s">
        <v>1</v>
      </c>
      <c r="M15" s="4">
        <v>48</v>
      </c>
      <c r="N15" s="4">
        <v>41</v>
      </c>
      <c r="O15" s="4">
        <v>98</v>
      </c>
    </row>
    <row r="16" spans="2:15" x14ac:dyDescent="0.25">
      <c r="B16" t="s">
        <v>2</v>
      </c>
      <c r="C16" s="4">
        <v>44</v>
      </c>
      <c r="D16" s="4">
        <v>12</v>
      </c>
      <c r="E16" s="4">
        <v>3</v>
      </c>
      <c r="G16" t="s">
        <v>2</v>
      </c>
      <c r="H16" s="4">
        <v>44</v>
      </c>
      <c r="I16" s="4">
        <v>12</v>
      </c>
      <c r="J16" s="4">
        <v>3</v>
      </c>
      <c r="L16" t="s">
        <v>2</v>
      </c>
      <c r="M16" s="4">
        <v>44</v>
      </c>
      <c r="N16" s="4">
        <v>12</v>
      </c>
      <c r="O16" s="4">
        <v>3</v>
      </c>
    </row>
    <row r="17" spans="2:15" x14ac:dyDescent="0.25">
      <c r="B17" t="s">
        <v>3</v>
      </c>
      <c r="C17" s="4">
        <v>56</v>
      </c>
      <c r="D17" s="4">
        <v>18</v>
      </c>
      <c r="E17" s="4">
        <v>64</v>
      </c>
      <c r="G17" t="s">
        <v>3</v>
      </c>
      <c r="H17" s="4">
        <v>56</v>
      </c>
      <c r="I17" s="4">
        <v>18</v>
      </c>
      <c r="J17" s="4">
        <v>64</v>
      </c>
      <c r="L17" t="s">
        <v>3</v>
      </c>
      <c r="M17" s="4">
        <v>56</v>
      </c>
      <c r="N17" s="4">
        <v>18</v>
      </c>
      <c r="O17" s="4">
        <v>64</v>
      </c>
    </row>
    <row r="18" spans="2:15" x14ac:dyDescent="0.25">
      <c r="B18" t="s">
        <v>8</v>
      </c>
      <c r="C18" s="4">
        <v>87</v>
      </c>
      <c r="D18" s="4">
        <v>37</v>
      </c>
      <c r="E18" s="4">
        <v>64</v>
      </c>
      <c r="G18" t="s">
        <v>8</v>
      </c>
      <c r="H18" s="4">
        <v>87</v>
      </c>
      <c r="I18" s="4">
        <v>37</v>
      </c>
      <c r="J18" s="4">
        <v>64</v>
      </c>
      <c r="L18" t="s">
        <v>8</v>
      </c>
      <c r="M18" s="4">
        <v>87</v>
      </c>
      <c r="N18" s="4">
        <v>37</v>
      </c>
      <c r="O18" s="4">
        <v>64</v>
      </c>
    </row>
    <row r="19" spans="2:15" x14ac:dyDescent="0.25">
      <c r="B19" t="s">
        <v>9</v>
      </c>
      <c r="C19" s="4">
        <v>67</v>
      </c>
      <c r="D19" s="4">
        <v>75</v>
      </c>
      <c r="E19" s="4">
        <v>80</v>
      </c>
      <c r="G19" t="s">
        <v>9</v>
      </c>
      <c r="H19" s="4">
        <v>67</v>
      </c>
      <c r="I19" s="4">
        <v>75</v>
      </c>
      <c r="J19" s="4">
        <v>80</v>
      </c>
      <c r="L19" t="s">
        <v>9</v>
      </c>
      <c r="M19" s="4">
        <v>67</v>
      </c>
      <c r="N19" s="4">
        <v>75</v>
      </c>
      <c r="O19" s="4">
        <v>80</v>
      </c>
    </row>
    <row r="20" spans="2:15" x14ac:dyDescent="0.25">
      <c r="B20" t="s">
        <v>12</v>
      </c>
      <c r="C20" s="4">
        <v>47</v>
      </c>
      <c r="D20" s="4">
        <v>113</v>
      </c>
      <c r="E20" s="4">
        <v>96</v>
      </c>
      <c r="G20" t="s">
        <v>12</v>
      </c>
      <c r="H20" s="4">
        <v>47</v>
      </c>
      <c r="I20" s="4">
        <v>113</v>
      </c>
      <c r="J20" s="4">
        <v>96</v>
      </c>
      <c r="L20" t="s">
        <v>12</v>
      </c>
      <c r="M20" s="4">
        <v>47</v>
      </c>
      <c r="N20" s="4">
        <v>113</v>
      </c>
      <c r="O20" s="4">
        <v>96</v>
      </c>
    </row>
    <row r="21" spans="2:15" x14ac:dyDescent="0.25">
      <c r="B21" s="5" t="s">
        <v>10</v>
      </c>
      <c r="C21" s="6">
        <f>SUBTOTAL(103,Tabla4[Título 2])</f>
        <v>7</v>
      </c>
      <c r="D21" s="8">
        <f>SUBTOTAL(101,Tabla4[Título 3])</f>
        <v>55.857142857142854</v>
      </c>
      <c r="E21" s="6">
        <f>SUBTOTAL(109,Tabla4[Título 4])</f>
        <v>443</v>
      </c>
      <c r="G21" s="5" t="s">
        <v>10</v>
      </c>
      <c r="H21" s="6">
        <f>SUBTOTAL(103,Tabla5[Título 2])</f>
        <v>7</v>
      </c>
      <c r="I21" s="8">
        <f>SUBTOTAL(101,Tabla5[Título 3])</f>
        <v>55.857142857142854</v>
      </c>
      <c r="J21" s="6">
        <f>SUBTOTAL(109,Tabla5[Título 4])</f>
        <v>443</v>
      </c>
      <c r="L21" s="5" t="s">
        <v>10</v>
      </c>
      <c r="M21" s="6">
        <f>SUBTOTAL(103,Tabla6[Título 2])</f>
        <v>7</v>
      </c>
      <c r="N21" s="8">
        <f>SUBTOTAL(101,Tabla6[Título 3])</f>
        <v>55.857142857142854</v>
      </c>
      <c r="O21" s="6">
        <f>SUBTOTAL(109,Tabla6[Título 4])</f>
        <v>443</v>
      </c>
    </row>
  </sheetData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partesTabla2"/>
  <dimension ref="B2:O21"/>
  <sheetViews>
    <sheetView topLeftCell="F1" workbookViewId="0">
      <selection activeCell="H5" sqref="H5"/>
    </sheetView>
  </sheetViews>
  <sheetFormatPr baseColWidth="10" defaultRowHeight="15" x14ac:dyDescent="0.25"/>
  <sheetData>
    <row r="2" spans="2:15" x14ac:dyDescent="0.25">
      <c r="B2" s="9" t="s">
        <v>4</v>
      </c>
      <c r="C2" s="10" t="s">
        <v>5</v>
      </c>
      <c r="D2" s="10" t="s">
        <v>6</v>
      </c>
      <c r="E2" s="10" t="s">
        <v>7</v>
      </c>
      <c r="G2" s="9" t="s">
        <v>4</v>
      </c>
      <c r="H2" s="10" t="s">
        <v>5</v>
      </c>
      <c r="I2" s="15" t="s">
        <v>6</v>
      </c>
      <c r="J2" s="10" t="s">
        <v>7</v>
      </c>
      <c r="L2" s="3" t="s">
        <v>4</v>
      </c>
      <c r="M2" s="7" t="s">
        <v>5</v>
      </c>
      <c r="N2" s="7" t="s">
        <v>6</v>
      </c>
      <c r="O2" s="7" t="s">
        <v>7</v>
      </c>
    </row>
    <row r="3" spans="2:15" x14ac:dyDescent="0.25">
      <c r="B3" s="9" t="s">
        <v>0</v>
      </c>
      <c r="C3" s="11">
        <v>82</v>
      </c>
      <c r="D3" s="11">
        <v>95</v>
      </c>
      <c r="E3" s="11">
        <v>38</v>
      </c>
      <c r="G3" t="s">
        <v>0</v>
      </c>
      <c r="H3" s="4">
        <v>82</v>
      </c>
      <c r="I3" s="4">
        <v>95</v>
      </c>
      <c r="J3" s="4">
        <v>38</v>
      </c>
      <c r="L3" s="9" t="s">
        <v>0</v>
      </c>
      <c r="M3" s="11">
        <v>82</v>
      </c>
      <c r="N3" s="11">
        <v>95</v>
      </c>
      <c r="O3" s="11">
        <v>38</v>
      </c>
    </row>
    <row r="4" spans="2:15" x14ac:dyDescent="0.25">
      <c r="B4" s="9" t="s">
        <v>1</v>
      </c>
      <c r="C4" s="11">
        <v>48</v>
      </c>
      <c r="D4" s="11">
        <v>41</v>
      </c>
      <c r="E4" s="11">
        <v>98</v>
      </c>
      <c r="G4" t="s">
        <v>1</v>
      </c>
      <c r="H4" s="4">
        <v>48</v>
      </c>
      <c r="I4" s="4">
        <v>41</v>
      </c>
      <c r="J4" s="4">
        <v>98</v>
      </c>
      <c r="L4" s="9" t="s">
        <v>1</v>
      </c>
      <c r="M4" s="11">
        <v>48</v>
      </c>
      <c r="N4" s="11">
        <v>41</v>
      </c>
      <c r="O4" s="11">
        <v>98</v>
      </c>
    </row>
    <row r="5" spans="2:15" x14ac:dyDescent="0.25">
      <c r="B5" s="9" t="s">
        <v>2</v>
      </c>
      <c r="C5" s="11">
        <v>44</v>
      </c>
      <c r="D5" s="11">
        <v>12</v>
      </c>
      <c r="E5" s="11">
        <v>3</v>
      </c>
      <c r="G5" t="s">
        <v>2</v>
      </c>
      <c r="H5" s="16">
        <v>44</v>
      </c>
      <c r="I5" s="4">
        <v>12</v>
      </c>
      <c r="J5" s="4">
        <v>3</v>
      </c>
      <c r="L5" s="9" t="s">
        <v>2</v>
      </c>
      <c r="M5" s="11">
        <v>44</v>
      </c>
      <c r="N5" s="11">
        <v>12</v>
      </c>
      <c r="O5" s="11">
        <v>3</v>
      </c>
    </row>
    <row r="6" spans="2:15" x14ac:dyDescent="0.25">
      <c r="B6" s="9" t="s">
        <v>3</v>
      </c>
      <c r="C6" s="11">
        <v>56</v>
      </c>
      <c r="D6" s="11">
        <v>18</v>
      </c>
      <c r="E6" s="11">
        <v>64</v>
      </c>
      <c r="G6" t="s">
        <v>3</v>
      </c>
      <c r="H6" s="4">
        <v>56</v>
      </c>
      <c r="I6" s="4">
        <v>18</v>
      </c>
      <c r="J6" s="4">
        <v>64</v>
      </c>
      <c r="L6" s="9" t="s">
        <v>3</v>
      </c>
      <c r="M6" s="11">
        <v>56</v>
      </c>
      <c r="N6" s="11">
        <v>18</v>
      </c>
      <c r="O6" s="11">
        <v>64</v>
      </c>
    </row>
    <row r="7" spans="2:15" x14ac:dyDescent="0.25">
      <c r="B7" s="9" t="s">
        <v>8</v>
      </c>
      <c r="C7" s="11">
        <v>87</v>
      </c>
      <c r="D7" s="11">
        <v>37</v>
      </c>
      <c r="E7" s="11">
        <v>64</v>
      </c>
      <c r="G7" t="s">
        <v>8</v>
      </c>
      <c r="H7" s="4">
        <v>87</v>
      </c>
      <c r="I7" s="4">
        <v>37</v>
      </c>
      <c r="J7" s="4">
        <v>64</v>
      </c>
      <c r="L7" s="9" t="s">
        <v>8</v>
      </c>
      <c r="M7" s="11">
        <v>87</v>
      </c>
      <c r="N7" s="11">
        <v>37</v>
      </c>
      <c r="O7" s="11">
        <v>64</v>
      </c>
    </row>
    <row r="8" spans="2:15" x14ac:dyDescent="0.25">
      <c r="B8" s="9" t="s">
        <v>9</v>
      </c>
      <c r="C8" s="11">
        <v>67</v>
      </c>
      <c r="D8" s="11">
        <v>75</v>
      </c>
      <c r="E8" s="11">
        <v>80</v>
      </c>
      <c r="G8" t="s">
        <v>9</v>
      </c>
      <c r="H8" s="4">
        <v>67</v>
      </c>
      <c r="I8" s="4">
        <v>75</v>
      </c>
      <c r="J8" s="4">
        <v>80</v>
      </c>
      <c r="L8" s="9" t="s">
        <v>9</v>
      </c>
      <c r="M8" s="11">
        <v>67</v>
      </c>
      <c r="N8" s="11">
        <v>75</v>
      </c>
      <c r="O8" s="11">
        <v>80</v>
      </c>
    </row>
    <row r="9" spans="2:15" x14ac:dyDescent="0.25">
      <c r="B9" s="9" t="s">
        <v>12</v>
      </c>
      <c r="C9" s="11">
        <v>47</v>
      </c>
      <c r="D9" s="11">
        <v>113</v>
      </c>
      <c r="E9" s="11">
        <v>96</v>
      </c>
      <c r="G9" t="s">
        <v>12</v>
      </c>
      <c r="H9" s="4">
        <v>47</v>
      </c>
      <c r="I9" s="4">
        <v>113</v>
      </c>
      <c r="J9" s="4">
        <v>96</v>
      </c>
      <c r="L9" s="9" t="s">
        <v>12</v>
      </c>
      <c r="M9" s="11">
        <v>47</v>
      </c>
      <c r="N9" s="11">
        <v>113</v>
      </c>
      <c r="O9" s="11">
        <v>96</v>
      </c>
    </row>
    <row r="10" spans="2:15" x14ac:dyDescent="0.25">
      <c r="B10" s="12" t="s">
        <v>10</v>
      </c>
      <c r="C10" s="13">
        <f>SUBTOTAL(103,tblUsr_MiTabla1[Título 2])</f>
        <v>7</v>
      </c>
      <c r="D10" s="14">
        <f>SUBTOTAL(101,tblUsr_MiTabla1[Título 3])</f>
        <v>55.857142857142854</v>
      </c>
      <c r="E10" s="13">
        <f>SUBTOTAL(109,tblUsr_MiTabla1[Título 4])</f>
        <v>443</v>
      </c>
      <c r="G10" s="5" t="s">
        <v>10</v>
      </c>
      <c r="H10" s="6">
        <f>SUBTOTAL(103,tblUsr_MiTabla2[Título 2])</f>
        <v>7</v>
      </c>
      <c r="I10" s="8">
        <f>SUBTOTAL(101,tblUsr_MiTabla2[Título 3])</f>
        <v>55.857142857142854</v>
      </c>
      <c r="J10" s="6">
        <f>SUBTOTAL(109,tblUsr_MiTabla2[Título 4])</f>
        <v>443</v>
      </c>
      <c r="L10" s="5" t="s">
        <v>10</v>
      </c>
      <c r="M10" s="6">
        <f>SUBTOTAL(103,tblUsr_MiTabla3[Título 2])</f>
        <v>7</v>
      </c>
      <c r="N10" s="8">
        <f>SUBTOTAL(101,tblUsr_MiTabla3[Título 3])</f>
        <v>55.857142857142854</v>
      </c>
      <c r="O10" s="6">
        <f>SUBTOTAL(109,tblUsr_MiTabla3[Título 4])</f>
        <v>443</v>
      </c>
    </row>
    <row r="13" spans="2:15" x14ac:dyDescent="0.25">
      <c r="B13" s="3" t="s">
        <v>4</v>
      </c>
      <c r="C13" s="7" t="s">
        <v>5</v>
      </c>
      <c r="D13" s="7" t="s">
        <v>6</v>
      </c>
      <c r="E13" s="7" t="s">
        <v>7</v>
      </c>
      <c r="G13" s="3" t="s">
        <v>4</v>
      </c>
      <c r="H13" s="7" t="s">
        <v>5</v>
      </c>
      <c r="I13" s="10" t="s">
        <v>6</v>
      </c>
      <c r="J13" s="7" t="s">
        <v>7</v>
      </c>
      <c r="L13" s="3" t="s">
        <v>4</v>
      </c>
      <c r="M13" s="7" t="s">
        <v>5</v>
      </c>
      <c r="N13" s="7" t="s">
        <v>6</v>
      </c>
      <c r="O13" s="7" t="s">
        <v>7</v>
      </c>
    </row>
    <row r="14" spans="2:15" x14ac:dyDescent="0.25">
      <c r="B14" t="s">
        <v>0</v>
      </c>
      <c r="C14" s="4">
        <v>82</v>
      </c>
      <c r="D14" s="4">
        <v>95</v>
      </c>
      <c r="E14" s="4">
        <v>38</v>
      </c>
      <c r="G14" t="s">
        <v>0</v>
      </c>
      <c r="H14" s="4">
        <v>82</v>
      </c>
      <c r="I14" s="11">
        <v>95</v>
      </c>
      <c r="J14" s="4">
        <v>38</v>
      </c>
      <c r="L14" t="s">
        <v>0</v>
      </c>
      <c r="M14" s="4">
        <v>82</v>
      </c>
      <c r="N14" s="4">
        <v>95</v>
      </c>
      <c r="O14" s="4">
        <v>38</v>
      </c>
    </row>
    <row r="15" spans="2:15" x14ac:dyDescent="0.25">
      <c r="B15" t="s">
        <v>1</v>
      </c>
      <c r="C15" s="4">
        <v>48</v>
      </c>
      <c r="D15" s="4">
        <v>41</v>
      </c>
      <c r="E15" s="4">
        <v>98</v>
      </c>
      <c r="G15" t="s">
        <v>1</v>
      </c>
      <c r="H15" s="4">
        <v>48</v>
      </c>
      <c r="I15" s="11">
        <v>41</v>
      </c>
      <c r="J15" s="4">
        <v>98</v>
      </c>
      <c r="L15" t="s">
        <v>1</v>
      </c>
      <c r="M15" s="4">
        <v>48</v>
      </c>
      <c r="N15" s="4">
        <v>41</v>
      </c>
      <c r="O15" s="4">
        <v>98</v>
      </c>
    </row>
    <row r="16" spans="2:15" x14ac:dyDescent="0.25">
      <c r="B16" t="s">
        <v>2</v>
      </c>
      <c r="C16" s="4">
        <v>44</v>
      </c>
      <c r="D16" s="4">
        <v>12</v>
      </c>
      <c r="E16" s="4">
        <v>3</v>
      </c>
      <c r="G16" t="s">
        <v>2</v>
      </c>
      <c r="H16" s="4">
        <v>44</v>
      </c>
      <c r="I16" s="11">
        <v>12</v>
      </c>
      <c r="J16" s="4">
        <v>3</v>
      </c>
      <c r="L16" t="s">
        <v>2</v>
      </c>
      <c r="M16" s="4">
        <v>44</v>
      </c>
      <c r="N16" s="4">
        <v>12</v>
      </c>
      <c r="O16" s="4">
        <v>3</v>
      </c>
    </row>
    <row r="17" spans="2:15" x14ac:dyDescent="0.25">
      <c r="B17" t="s">
        <v>3</v>
      </c>
      <c r="C17" s="4">
        <v>56</v>
      </c>
      <c r="D17" s="4">
        <v>18</v>
      </c>
      <c r="E17" s="4">
        <v>64</v>
      </c>
      <c r="G17" t="s">
        <v>3</v>
      </c>
      <c r="H17" s="4">
        <v>56</v>
      </c>
      <c r="I17" s="11">
        <v>18</v>
      </c>
      <c r="J17" s="4">
        <v>64</v>
      </c>
      <c r="L17" s="9" t="s">
        <v>3</v>
      </c>
      <c r="M17" s="11">
        <v>56</v>
      </c>
      <c r="N17" s="11">
        <v>18</v>
      </c>
      <c r="O17" s="11">
        <v>64</v>
      </c>
    </row>
    <row r="18" spans="2:15" x14ac:dyDescent="0.25">
      <c r="B18" t="s">
        <v>8</v>
      </c>
      <c r="C18" s="4">
        <v>87</v>
      </c>
      <c r="D18" s="4">
        <v>37</v>
      </c>
      <c r="E18" s="4">
        <v>64</v>
      </c>
      <c r="G18" t="s">
        <v>8</v>
      </c>
      <c r="H18" s="4">
        <v>87</v>
      </c>
      <c r="I18" s="11">
        <v>37</v>
      </c>
      <c r="J18" s="4">
        <v>64</v>
      </c>
      <c r="L18" t="s">
        <v>8</v>
      </c>
      <c r="M18" s="4">
        <v>87</v>
      </c>
      <c r="N18" s="4">
        <v>37</v>
      </c>
      <c r="O18" s="4">
        <v>64</v>
      </c>
    </row>
    <row r="19" spans="2:15" x14ac:dyDescent="0.25">
      <c r="B19" t="s">
        <v>9</v>
      </c>
      <c r="C19" s="4">
        <v>67</v>
      </c>
      <c r="D19" s="4">
        <v>75</v>
      </c>
      <c r="E19" s="4">
        <v>80</v>
      </c>
      <c r="G19" t="s">
        <v>9</v>
      </c>
      <c r="H19" s="4">
        <v>67</v>
      </c>
      <c r="I19" s="11">
        <v>75</v>
      </c>
      <c r="J19" s="4">
        <v>80</v>
      </c>
      <c r="L19" t="s">
        <v>9</v>
      </c>
      <c r="M19" s="4">
        <v>67</v>
      </c>
      <c r="N19" s="4">
        <v>75</v>
      </c>
      <c r="O19" s="4">
        <v>80</v>
      </c>
    </row>
    <row r="20" spans="2:15" x14ac:dyDescent="0.25">
      <c r="B20" t="s">
        <v>12</v>
      </c>
      <c r="C20" s="4">
        <v>47</v>
      </c>
      <c r="D20" s="4">
        <v>113</v>
      </c>
      <c r="E20" s="4">
        <v>96</v>
      </c>
      <c r="G20" t="s">
        <v>12</v>
      </c>
      <c r="H20" s="4">
        <v>47</v>
      </c>
      <c r="I20" s="11">
        <v>113</v>
      </c>
      <c r="J20" s="4">
        <v>96</v>
      </c>
      <c r="L20" t="s">
        <v>12</v>
      </c>
      <c r="M20" s="4">
        <v>47</v>
      </c>
      <c r="N20" s="4">
        <v>113</v>
      </c>
      <c r="O20" s="4">
        <v>96</v>
      </c>
    </row>
    <row r="21" spans="2:15" x14ac:dyDescent="0.25">
      <c r="B21" s="12" t="s">
        <v>10</v>
      </c>
      <c r="C21" s="13">
        <f>SUBTOTAL(103,tblUsr_MiTabla4[Título 2])</f>
        <v>7</v>
      </c>
      <c r="D21" s="14">
        <f>SUBTOTAL(101,tblUsr_MiTabla4[Título 3])</f>
        <v>55.857142857142854</v>
      </c>
      <c r="E21" s="13">
        <f>SUBTOTAL(109,tblUsr_MiTabla4[Título 4])</f>
        <v>443</v>
      </c>
      <c r="G21" s="5" t="s">
        <v>10</v>
      </c>
      <c r="H21" s="6">
        <f>SUBTOTAL(103,tblUsr_MiTabla5[Título 2])</f>
        <v>7</v>
      </c>
      <c r="I21" s="14">
        <f>SUBTOTAL(101,tblUsr_MiTabla5[Título 3])</f>
        <v>55.857142857142854</v>
      </c>
      <c r="J21" s="6">
        <f>SUBTOTAL(109,tblUsr_MiTabla5[Título 4])</f>
        <v>443</v>
      </c>
      <c r="L21" s="5" t="s">
        <v>10</v>
      </c>
      <c r="M21" s="6">
        <f>SUBTOTAL(103,tblUsr_MiTabla6[Título 2])</f>
        <v>7</v>
      </c>
      <c r="N21" s="8">
        <f>SUBTOTAL(101,tblUsr_MiTabla6[Título 3])</f>
        <v>55.857142857142854</v>
      </c>
      <c r="O21" s="6">
        <f>SUBTOTAL(109,tblUsr_MiTabla6[Título 4])</f>
        <v>443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Usr_cnvEscritura"/>
  <dimension ref="B2:O2"/>
  <sheetViews>
    <sheetView showGridLines="0" showRowColHeaders="0" tabSelected="1" workbookViewId="0">
      <selection activeCell="I6" sqref="I6"/>
    </sheetView>
  </sheetViews>
  <sheetFormatPr baseColWidth="10" defaultRowHeight="15" x14ac:dyDescent="0.25"/>
  <sheetData>
    <row r="2" spans="2:15" ht="28.5" x14ac:dyDescent="0.45">
      <c r="B2" s="1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</sheetData>
  <sheetProtection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Partes de una tabla</vt:lpstr>
      <vt:lpstr>Partes de una tabla (2)</vt:lpstr>
      <vt:lpstr>Convenciones</vt:lpstr>
      <vt:lpstr>'Partes de una tabla (2)'!namTar_NombreDeRango1</vt:lpstr>
      <vt:lpstr>namTar_NombreDeRango1</vt:lpstr>
      <vt:lpstr>'Partes de una tabla (2)'!namTar_NombreDeRango3</vt:lpstr>
      <vt:lpstr>namTar_NombreDeRango3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2017-11-03T23:05:07Z</dcterms:created>
  <dcterms:modified xsi:type="dcterms:W3CDTF">2017-11-05T16:11:06Z</dcterms:modified>
</cp:coreProperties>
</file>